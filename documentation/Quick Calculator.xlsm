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bray201\Desktop\market_intelligence\miBuilds\"/>
    </mc:Choice>
  </mc:AlternateContent>
  <bookViews>
    <workbookView xWindow="0" yWindow="0" windowWidth="16200" windowHeight="6225" tabRatio="824"/>
  </bookViews>
  <sheets>
    <sheet name="Calculator" sheetId="40" r:id="rId1"/>
    <sheet name="Lookups &amp; Dropdowns" sheetId="2" state="veryHidden" r:id="rId2"/>
    <sheet name="Calculator Cash Flow" sheetId="41" state="veryHidden" r:id="rId3"/>
  </sheets>
  <externalReferences>
    <externalReference r:id="rId4"/>
    <externalReference r:id="rId5"/>
  </externalReferences>
  <definedNames>
    <definedName name="AccessFeesLumpSum">#REF!</definedName>
    <definedName name="AccessFeesMonthly">#REF!</definedName>
    <definedName name="AddOSPENTCalc">'Lookups &amp; Dropdowns'!$BE$41</definedName>
    <definedName name="AddOSPLatCostENT">'Lookups &amp; Dropdowns'!$BE$33</definedName>
    <definedName name="AddOSPLatCostSMB">'Lookups &amp; Dropdowns'!$BE$32</definedName>
    <definedName name="AddOSPSMBCalc">'Lookups &amp; Dropdowns'!$BE$40</definedName>
    <definedName name="ApprovalDate">#REF!</definedName>
    <definedName name="aus_states">[1]Lookup!$A$2:$A$8</definedName>
    <definedName name="BuildingCount">#REF!</definedName>
    <definedName name="BuildingCountCalc">Calculator!$D$10</definedName>
    <definedName name="BuildingType">'Lookups &amp; Dropdowns'!$AL$3:$AL$8</definedName>
    <definedName name="BuildType">'Lookups &amp; Dropdowns'!$B$3:$B$6</definedName>
    <definedName name="BusinessJustification">#REF!</definedName>
    <definedName name="BusinessMaxActualCapital">#REF!</definedName>
    <definedName name="CalcIRR">Calculator!$D$32</definedName>
    <definedName name="California">'Lookups &amp; Dropdowns'!$L$3</definedName>
    <definedName name="CaliforniaDCs">#REF!</definedName>
    <definedName name="CARValue">#REF!</definedName>
    <definedName name="CashFlow180Mo" localSheetId="2">'Calculator Cash Flow'!$C$15:$GA$15</definedName>
    <definedName name="CashFlow180MoCalc">'Calculator Cash Flow'!$C$15:$GA$15</definedName>
    <definedName name="City">#REF!</definedName>
    <definedName name="Considerations">#REF!</definedName>
    <definedName name="CostPerPassing">#REF!</definedName>
    <definedName name="CurrentService">'Lookups &amp; Dropdowns'!$AP$3:$AP$6</definedName>
    <definedName name="DataARPU1">#REF!</definedName>
    <definedName name="DataARPU2">#REF!</definedName>
    <definedName name="DataARPU3">#REF!</definedName>
    <definedName name="DataARPUAss1">#REF!</definedName>
    <definedName name="DataARPUAss2">#REF!</definedName>
    <definedName name="DataARPUAss3">#REF!</definedName>
    <definedName name="DataCenterCapex">#REF!</definedName>
    <definedName name="DataCenterSelection">#REF!</definedName>
    <definedName name="DataPen1">#REF!</definedName>
    <definedName name="DataPen2">#REF!</definedName>
    <definedName name="DataPen3">#REF!</definedName>
    <definedName name="DataPenAss1">#REF!</definedName>
    <definedName name="DataPenAss2">#REF!</definedName>
    <definedName name="DataPenAss3">#REF!</definedName>
    <definedName name="DataRevShare1">#REF!</definedName>
    <definedName name="DataRevShare2">#REF!</definedName>
    <definedName name="DataRevShare3">#REF!</definedName>
    <definedName name="DataRevShareAss1">#REF!</definedName>
    <definedName name="DataRevShareAss2">#REF!</definedName>
    <definedName name="DataRevShareAss3">#REF!</definedName>
    <definedName name="DCAvgMRR">#REF!</definedName>
    <definedName name="DCAvgMRRAss">#REF!</definedName>
    <definedName name="DCColoFee">#REF!</definedName>
    <definedName name="DCColoFeeAss">#REF!</definedName>
    <definedName name="DCConnectCostAss">#REF!</definedName>
    <definedName name="DCConnectCosts">#REF!</definedName>
    <definedName name="DCEquipment">#REF!</definedName>
    <definedName name="DCEquipmentAss">#REF!</definedName>
    <definedName name="DCEquipmentCost">#REF!</definedName>
    <definedName name="DCEquipmentType">#REF!</definedName>
    <definedName name="DCOpex">#REF!</definedName>
    <definedName name="DCOpexAss">#REF!</definedName>
    <definedName name="DCPowerFee">#REF!</definedName>
    <definedName name="DCPowerFeeAss">#REF!</definedName>
    <definedName name="DCRackOpex">#REF!</definedName>
    <definedName name="DCRackOpexAss">#REF!</definedName>
    <definedName name="DCRecommendedEquipment">#REF!</definedName>
    <definedName name="DCSelectedSize">#REF!</definedName>
    <definedName name="DCSize">#REF!</definedName>
    <definedName name="DCSizeAss">#REF!</definedName>
    <definedName name="DealInHandMRC">#REF!</definedName>
    <definedName name="DealInHandQty">#REF!</definedName>
    <definedName name="DealTerm">'Lookups &amp; Dropdowns'!$AR$3:$AR$7</definedName>
    <definedName name="DivisionARPUAssumption">'Lookups &amp; Dropdowns'!$BB$11</definedName>
    <definedName name="DwellingType">'Lookups &amp; Dropdowns'!$AJ$3:$AJ$6</definedName>
    <definedName name="ENT12MoAssumption">'Lookups &amp; Dropdowns'!$BE$14</definedName>
    <definedName name="ENT12MoCalc">'Lookups &amp; Dropdowns'!$BE$19</definedName>
    <definedName name="ENT12moPenCalc">Calculator!$D$22</definedName>
    <definedName name="ENT36MoAssumption">'Lookups &amp; Dropdowns'!$BE$15</definedName>
    <definedName name="ENT36MoCalc">'Lookups &amp; Dropdowns'!$BE$20</definedName>
    <definedName name="ENT36moPenCalc">Calculator!$D$24</definedName>
    <definedName name="ENTARPU">#REF!</definedName>
    <definedName name="ENTARPUASSUMPTION">'Lookups &amp; Dropdowns'!$BB$13</definedName>
    <definedName name="ENTARPUAssumptionCalc">'Lookups &amp; Dropdowns'!$BB$15</definedName>
    <definedName name="ENTARPUCalc">Calculator!$D$16</definedName>
    <definedName name="ENTCalcQBs">Calculator!$D$8</definedName>
    <definedName name="ENTChurn">'Lookups &amp; Dropdowns'!$AX$5</definedName>
    <definedName name="ENTCost">'Lookups &amp; Dropdowns'!$BE$35</definedName>
    <definedName name="ENTCostCalc">'Lookups &amp; Dropdowns'!$BE$43</definedName>
    <definedName name="ENTDealInHandMRC">#REF!</definedName>
    <definedName name="ENTDealInHandQty">#REF!</definedName>
    <definedName name="ENTOpexLoad">'Lookups &amp; Dropdowns'!$AX$4</definedName>
    <definedName name="ENTPen12Mo">#REF!</definedName>
    <definedName name="ENTPen36Mo">#REF!</definedName>
    <definedName name="ENTQBs">#REF!</definedName>
    <definedName name="Equipment">'[2]Inputs &amp; Summary'!$AV$8:$AV$13</definedName>
    <definedName name="EstBuildCostROW">#REF!</definedName>
    <definedName name="EstCompDate">#REF!</definedName>
    <definedName name="EstROWCostCalc">Calculator!$D$26</definedName>
    <definedName name="FiberComp">#REF!</definedName>
    <definedName name="FundingBucket">#REF!</definedName>
    <definedName name="HeadEndCost">#REF!</definedName>
    <definedName name="HistOpptys">#REF!</definedName>
    <definedName name="Houston">'Lookups &amp; Dropdowns'!$N$3</definedName>
    <definedName name="HoustonDCs">#REF!</definedName>
    <definedName name="ICDistroList">'Lookups &amp; Dropdowns'!$BN$1</definedName>
    <definedName name="ICTakeaway">#REF!</definedName>
    <definedName name="InputOption">'[2]Inputs &amp; Summary'!$AV$28:$AV$30</definedName>
    <definedName name="IRR">#REF!</definedName>
    <definedName name="IRRminusHETP">#REF!</definedName>
    <definedName name="JTID">#REF!</definedName>
    <definedName name="LatCostPerBuilding">'Lookups &amp; Dropdowns'!$BE$30</definedName>
    <definedName name="LatCostPerBuildingCalc">'Lookups &amp; Dropdowns'!$BE$38</definedName>
    <definedName name="LatCostPerConnect">#REF!</definedName>
    <definedName name="LatCostPerConnectMultiTenant">'Lookups &amp; Dropdowns'!$BE$31</definedName>
    <definedName name="LatCostPerMultiTenantCalc">'Lookups &amp; Dropdowns'!$BE$39</definedName>
    <definedName name="LatsConstructedUpfront">#REF!</definedName>
    <definedName name="MaxDSL">#REF!</definedName>
    <definedName name="MaxDSLSpeed">'Lookups &amp; Dropdowns'!$AD$3:$AD$12</definedName>
    <definedName name="MDU1EstCompMo">#REF!</definedName>
    <definedName name="MDU1EstCompYr">#REF!</definedName>
    <definedName name="MDU1Properties">#REF!</definedName>
    <definedName name="MDU2EstCompMo">#REF!</definedName>
    <definedName name="MDU2EstCompYr">#REF!</definedName>
    <definedName name="MDU2Properties">#REF!</definedName>
    <definedName name="MDU3EstCompMo">#REF!</definedName>
    <definedName name="MDU3EstCompYr">#REF!</definedName>
    <definedName name="MDU3Properties">#REF!</definedName>
    <definedName name="MDUBuildType">'Lookups &amp; Dropdowns'!$AN$3:$AN$5</definedName>
    <definedName name="MDUBuildTypeSelection1">#REF!</definedName>
    <definedName name="MDUBuildTypeSelection2">#REF!</definedName>
    <definedName name="MDUBuildTypeSelection3">#REF!</definedName>
    <definedName name="MDUCommission1">#REF!</definedName>
    <definedName name="MDUCommission2">#REF!</definedName>
    <definedName name="MDUCommission3">#REF!</definedName>
    <definedName name="MDUConverter1">#REF!</definedName>
    <definedName name="MDUConverter2">#REF!</definedName>
    <definedName name="MDUConverter3">#REF!</definedName>
    <definedName name="MDUConverterAss1">#REF!</definedName>
    <definedName name="MDUConverterAss2">#REF!</definedName>
    <definedName name="MDUConverterAss3">#REF!</definedName>
    <definedName name="MDUCurrentService1">#REF!</definedName>
    <definedName name="MDUCurrentService2">#REF!</definedName>
    <definedName name="MDUCurrentService3">#REF!</definedName>
    <definedName name="MDUDoorFeeAss1">#REF!</definedName>
    <definedName name="MDUDoorFeeAss2">#REF!</definedName>
    <definedName name="MDUDoorFeeAss3">#REF!</definedName>
    <definedName name="MDUeMTA1">#REF!</definedName>
    <definedName name="MDUeMTA2">#REF!</definedName>
    <definedName name="MDUeMTA3">#REF!</definedName>
    <definedName name="MDUeMTAAss1">#REF!</definedName>
    <definedName name="MDUeMTAAss2">#REF!</definedName>
    <definedName name="MDUeMTAAss3">#REF!</definedName>
    <definedName name="MDUISP1">#REF!</definedName>
    <definedName name="MDUISP2">#REF!</definedName>
    <definedName name="MDUISP3">#REF!</definedName>
    <definedName name="MDUISPAss1">#REF!</definedName>
    <definedName name="MDUISPAss2">#REF!</definedName>
    <definedName name="MDUISPAss3">#REF!</definedName>
    <definedName name="MDUMaxActualCapital">#REF!</definedName>
    <definedName name="MDUMinPassAss1">#REF!</definedName>
    <definedName name="MDUMinPassAss2">#REF!</definedName>
    <definedName name="MDUMinPassAss3">#REF!</definedName>
    <definedName name="MDUModem1">#REF!</definedName>
    <definedName name="MDUModem2">#REF!</definedName>
    <definedName name="MDUModem3">#REF!</definedName>
    <definedName name="MDUModemAss1">#REF!</definedName>
    <definedName name="MDUModemAss2">#REF!</definedName>
    <definedName name="MDUModemAss3">#REF!</definedName>
    <definedName name="MDUOpexLoad1">#REF!</definedName>
    <definedName name="MDUOpexLoad2">#REF!</definedName>
    <definedName name="MDUOpexLoad3">#REF!</definedName>
    <definedName name="MDUOpexLoadAss1">#REF!</definedName>
    <definedName name="MDUOpexLoadAss2">#REF!</definedName>
    <definedName name="MDUOpexLoadAss3">#REF!</definedName>
    <definedName name="MDUProperty1">#REF!</definedName>
    <definedName name="MDUProperty2">#REF!</definedName>
    <definedName name="MDUProperty3">#REF!</definedName>
    <definedName name="MDUTerm1">#REF!</definedName>
    <definedName name="MDUTerm2">#REF!</definedName>
    <definedName name="MDUTerm3">#REF!</definedName>
    <definedName name="MDUUnits1">#REF!</definedName>
    <definedName name="MDUUnits2">#REF!</definedName>
    <definedName name="MDUUnits3">#REF!</definedName>
    <definedName name="MileHigh">'Lookups &amp; Dropdowns'!$P$3:$P$4</definedName>
    <definedName name="Month">'Lookups &amp; Dropdowns'!$AF$3:$AF$14</definedName>
    <definedName name="Mountain">'Lookups &amp; Dropdowns'!$R$3:$R$5</definedName>
    <definedName name="MountainWestDCs">#REF!</definedName>
    <definedName name="MultiTenantBuildings">#REF!</definedName>
    <definedName name="MultiTenantCalc">Calculator!$D$12</definedName>
    <definedName name="NPV">#REF!</definedName>
    <definedName name="NumFiberComp">#REF!</definedName>
    <definedName name="OtherIncetiveCosts">#REF!</definedName>
    <definedName name="PaybackMonth">#REF!</definedName>
    <definedName name="PenetrationRamp">#REF!</definedName>
    <definedName name="PermittingGateDate">#REF!</definedName>
    <definedName name="Portland">'Lookups &amp; Dropdowns'!$T$3:$T$4</definedName>
    <definedName name="PortlandDCs">#REF!</definedName>
    <definedName name="PrivPartyCost">#REF!</definedName>
    <definedName name="PrivPartyCostCalc">Calculator!$D$28</definedName>
    <definedName name="ProbuildName">#REF!</definedName>
    <definedName name="Region">'Lookups &amp; Dropdowns'!$J$3:$J$9</definedName>
    <definedName name="Region2">'[2]Division Summary'!$AC$30:$AC$48</definedName>
    <definedName name="RegionLeadBackupEmail">'Lookups &amp; Dropdowns'!$BK$1</definedName>
    <definedName name="RegionLeadEmail">'Lookups &amp; Dropdowns'!$BJ$1</definedName>
    <definedName name="RegionSelection">#REF!</definedName>
    <definedName name="RegionSelectionCalc">Calculator!$D$3</definedName>
    <definedName name="ReviewStatus">#REF!</definedName>
    <definedName name="ROE">'Lookups &amp; Dropdowns'!$AB$3:$AB$5</definedName>
    <definedName name="ROEGate">#REF!</definedName>
    <definedName name="ROEGateDate">#REF!</definedName>
    <definedName name="Seattle">'Lookups &amp; Dropdowns'!$V$3</definedName>
    <definedName name="SeattleDCs">#REF!</definedName>
    <definedName name="Segment">'Lookups &amp; Dropdowns'!$F$3:$F$8</definedName>
    <definedName name="SelectedDCRegion">#REF!</definedName>
    <definedName name="SelectedRegion">'Lookups &amp; Dropdowns'!$L$1</definedName>
    <definedName name="SMB12MoAssumption">'Lookups &amp; Dropdowns'!$BE$12</definedName>
    <definedName name="SMB12MoCalc">'Lookups &amp; Dropdowns'!$BE$17</definedName>
    <definedName name="SMB12moPenCalc">Calculator!$D$18</definedName>
    <definedName name="SMB36MoAssumption">'Lookups &amp; Dropdowns'!$BE$13</definedName>
    <definedName name="SMB36MoCalc">'Lookups &amp; Dropdowns'!$BE$18</definedName>
    <definedName name="SMB36moPenCalc">Calculator!$D$20</definedName>
    <definedName name="SMBARPU">#REF!</definedName>
    <definedName name="SMBARPUAssumption">'Lookups &amp; Dropdowns'!$BA$13</definedName>
    <definedName name="SMBARPUAssumptionCalc">'Lookups &amp; Dropdowns'!$BA$15</definedName>
    <definedName name="SMBARPUCalc">Calculator!$D$14</definedName>
    <definedName name="SMBCalcQBs">Calculator!$D$6</definedName>
    <definedName name="SMBChurn">'Lookups &amp; Dropdowns'!$AW$5</definedName>
    <definedName name="SMBCost">'Lookups &amp; Dropdowns'!$BE$34</definedName>
    <definedName name="SMBCostCalc">'Lookups &amp; Dropdowns'!$BE$42</definedName>
    <definedName name="SMBDealInHandMRC">#REF!</definedName>
    <definedName name="SMBDealInHandQty">#REF!</definedName>
    <definedName name="SMBENT">'Lookups &amp; Dropdowns'!$F$3:$F$4</definedName>
    <definedName name="SMBOpexLoad">'Lookups &amp; Dropdowns'!$AW$4</definedName>
    <definedName name="SMBPen12Mo">#REF!</definedName>
    <definedName name="SMBPen36Mo">#REF!</definedName>
    <definedName name="SMBQBs">#REF!</definedName>
    <definedName name="State">#REF!</definedName>
    <definedName name="SurveyType">'Lookups &amp; Dropdowns'!$D$3:$D$4</definedName>
    <definedName name="Term">#REF!</definedName>
    <definedName name="TotalUpfrontENTCalc">'Lookups &amp; Dropdowns'!$AW$43</definedName>
    <definedName name="TotalUpfrontENTLatCosts">'Lookups &amp; Dropdowns'!$AW$35</definedName>
    <definedName name="TotalUpfrontSMBCalc">'Lookups &amp; Dropdowns'!$BA$41</definedName>
    <definedName name="TotalUpfrontSMBLatCosts">'Lookups &amp; Dropdowns'!$BA$33</definedName>
    <definedName name="Transport">'Lookups &amp; Dropdowns'!$H$3:$H$6</definedName>
    <definedName name="TransportCost">#REF!</definedName>
    <definedName name="TwinCities">'Lookups &amp; Dropdowns'!$X$3:$X$6</definedName>
    <definedName name="TwinCitiesDCs">#REF!</definedName>
    <definedName name="TypeofBuild">#REF!</definedName>
    <definedName name="TypeOfSurvey">#REF!</definedName>
    <definedName name="UpfrontPerDoorFee1">#REF!</definedName>
    <definedName name="UpfrontPerDoorFee2">#REF!</definedName>
    <definedName name="UpfrontPerDoorFee3">#REF!</definedName>
    <definedName name="Upgrade">'[2]Inputs &amp; Summary'!$AW$28:$AW$29</definedName>
    <definedName name="ValName">IF(ISBLANK('[2]Inputs &amp; Summary'!B1),IF('[2]Inputs &amp; Summary'!$C$7:$E$7 '[2]Inputs &amp; Summary'!A:A = '[2]Inputs &amp; Summary'!$C$7,OFFSET([2]!ValidationLists[[#All],[Division]],1,,COUNTA([2]!ValidationLists[Division])),OFFSET([2]!ValidationLists[#Data],0,MATCH('[2]Inputs &amp; Summary'!XFD1, [2]!ValidationLists[#Headers],0)-1,COUNTA(OFFSET([2]!ValidationLists[#Data],,MATCH('[2]Inputs &amp; Summary'!XFD1, [2]!ValidationLists[#Headers],0)-1,,1)),1)))</definedName>
    <definedName name="VideoARPU1">#REF!</definedName>
    <definedName name="VideoARPU2">#REF!</definedName>
    <definedName name="VideoARPU3">#REF!</definedName>
    <definedName name="VideoARPUAss1">#REF!</definedName>
    <definedName name="VideoARPUAss2">#REF!</definedName>
    <definedName name="VideoARPUAss3">#REF!</definedName>
    <definedName name="VideoPen1">#REF!</definedName>
    <definedName name="VideoPen2">#REF!</definedName>
    <definedName name="VideoPen3">#REF!</definedName>
    <definedName name="VideoPenAss1">#REF!</definedName>
    <definedName name="VideoPenAss2">#REF!</definedName>
    <definedName name="VideoPenAss3">#REF!</definedName>
    <definedName name="VideoRevShare1">#REF!</definedName>
    <definedName name="VideoRevShare2">#REF!</definedName>
    <definedName name="VideoRevShare3">#REF!</definedName>
    <definedName name="VideoRevShareAss1">#REF!</definedName>
    <definedName name="VideoRevShareAss2">#REF!</definedName>
    <definedName name="VideoRevShareAss3">#REF!</definedName>
    <definedName name="VoiceARPU1">#REF!</definedName>
    <definedName name="VoiceARPU2">#REF!</definedName>
    <definedName name="VoiceARPU3">#REF!</definedName>
    <definedName name="VoiceARPUAss1">#REF!</definedName>
    <definedName name="VoiceARPUAss2">#REF!</definedName>
    <definedName name="VoiceARPUAss3">#REF!</definedName>
    <definedName name="VoicePen1">#REF!</definedName>
    <definedName name="VoicePen2">#REF!</definedName>
    <definedName name="VoicePen3">#REF!</definedName>
    <definedName name="VoicePenAss1">#REF!</definedName>
    <definedName name="VoicePenAss2">#REF!</definedName>
    <definedName name="VoicePenAss3">#REF!</definedName>
    <definedName name="VoiceRevShare1">#REF!</definedName>
    <definedName name="VoiceRevShare2">#REF!</definedName>
    <definedName name="VoiceRevShare3">#REF!</definedName>
    <definedName name="VoiceRevShareAss1">#REF!</definedName>
    <definedName name="VoiceRevShareAss2">#REF!</definedName>
    <definedName name="VoiceRevShareAss3">#REF!</definedName>
    <definedName name="Y1CircuitAss">#REF!</definedName>
    <definedName name="Y1Circuits">#REF!</definedName>
    <definedName name="Y2CircuitAss">#REF!</definedName>
    <definedName name="Y2Circuits">#REF!</definedName>
    <definedName name="Y3CircuitAss">#REF!</definedName>
    <definedName name="Y3Circuits">#REF!</definedName>
    <definedName name="Y4CircuitAss">#REF!</definedName>
    <definedName name="Y4Circuits">#REF!</definedName>
    <definedName name="Y5CircuitAss">#REF!</definedName>
    <definedName name="Y5Circuits">#REF!</definedName>
    <definedName name="Year">'Lookups &amp; Dropdowns'!$AH$3:$AH$12</definedName>
    <definedName name="YesOrNO">'Lookups &amp; Dropdowns'!$Z$3:$Z$4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40" l="1"/>
  <c r="D22" i="40"/>
  <c r="D16" i="40"/>
  <c r="BA30" i="2" l="1"/>
  <c r="BI1" i="2" l="1"/>
  <c r="BE30" i="2" l="1"/>
  <c r="AG3" i="2" l="1"/>
  <c r="BA38" i="2" l="1"/>
  <c r="BE20" i="2"/>
  <c r="BE19" i="2"/>
  <c r="BE18" i="2"/>
  <c r="D20" i="40" s="1"/>
  <c r="BE17" i="2"/>
  <c r="D18" i="40" s="1"/>
  <c r="BB15" i="2"/>
  <c r="BA15" i="2"/>
  <c r="D14" i="40" s="1"/>
  <c r="BE38" i="2" l="1"/>
  <c r="BE39" i="2" s="1"/>
  <c r="BA40" i="2"/>
  <c r="BA39" i="2"/>
  <c r="AW42" i="2"/>
  <c r="AW41" i="2"/>
  <c r="AW40" i="2"/>
  <c r="C12" i="41"/>
  <c r="D9" i="41"/>
  <c r="E9" i="41"/>
  <c r="E30" i="41" s="1"/>
  <c r="C9" i="41"/>
  <c r="C30" i="41" s="1"/>
  <c r="F24" i="41"/>
  <c r="F9" i="41" s="1"/>
  <c r="E24" i="41"/>
  <c r="D24" i="41"/>
  <c r="C24" i="41"/>
  <c r="F21" i="41"/>
  <c r="F6" i="41" s="1"/>
  <c r="F27" i="41" s="1"/>
  <c r="E21" i="41"/>
  <c r="E6" i="41" s="1"/>
  <c r="D21" i="41"/>
  <c r="C21" i="41"/>
  <c r="D6" i="41"/>
  <c r="D27" i="41" s="1"/>
  <c r="C6" i="41"/>
  <c r="C27" i="41" s="1"/>
  <c r="F29" i="41"/>
  <c r="E29" i="41"/>
  <c r="D29" i="41"/>
  <c r="C29" i="41"/>
  <c r="F26" i="41"/>
  <c r="E26" i="41"/>
  <c r="D26" i="41"/>
  <c r="C26" i="41"/>
  <c r="F23" i="41"/>
  <c r="E23" i="41"/>
  <c r="D23" i="41"/>
  <c r="C23" i="41"/>
  <c r="F20" i="41"/>
  <c r="E20" i="41"/>
  <c r="D20" i="41"/>
  <c r="C20" i="41"/>
  <c r="F17" i="41"/>
  <c r="E17" i="41"/>
  <c r="D17" i="41"/>
  <c r="C17" i="41"/>
  <c r="F14" i="41"/>
  <c r="E14" i="41"/>
  <c r="D14" i="41"/>
  <c r="C14" i="41"/>
  <c r="F11" i="41"/>
  <c r="E11" i="41"/>
  <c r="D11" i="41"/>
  <c r="C11" i="41"/>
  <c r="F8" i="41"/>
  <c r="E8" i="41"/>
  <c r="D8" i="41"/>
  <c r="C8" i="41"/>
  <c r="F5" i="41"/>
  <c r="E5" i="41"/>
  <c r="D5" i="41"/>
  <c r="C5" i="41"/>
  <c r="G4" i="41"/>
  <c r="G24" i="41" s="1"/>
  <c r="G9" i="41" s="1"/>
  <c r="G8" i="41" l="1"/>
  <c r="G11" i="41"/>
  <c r="G21" i="41"/>
  <c r="G6" i="41" s="1"/>
  <c r="G27" i="41" s="1"/>
  <c r="G14" i="41"/>
  <c r="BE40" i="2"/>
  <c r="BE41" i="2"/>
  <c r="D12" i="41"/>
  <c r="D15" i="41" s="1"/>
  <c r="G30" i="41"/>
  <c r="E27" i="41"/>
  <c r="F30" i="41"/>
  <c r="D30" i="41"/>
  <c r="C15" i="41"/>
  <c r="G29" i="41"/>
  <c r="G26" i="41"/>
  <c r="G23" i="41"/>
  <c r="G20" i="41"/>
  <c r="H4" i="41"/>
  <c r="G5" i="41"/>
  <c r="G17" i="41"/>
  <c r="H24" i="41" l="1"/>
  <c r="H9" i="41" s="1"/>
  <c r="H30" i="41" s="1"/>
  <c r="H21" i="41"/>
  <c r="H6" i="41" s="1"/>
  <c r="H27" i="41" s="1"/>
  <c r="C18" i="41"/>
  <c r="D18" i="41"/>
  <c r="H23" i="41"/>
  <c r="H29" i="41"/>
  <c r="H26" i="41"/>
  <c r="H14" i="41"/>
  <c r="H20" i="41"/>
  <c r="H11" i="41"/>
  <c r="H8" i="41"/>
  <c r="H17" i="41"/>
  <c r="H5" i="41"/>
  <c r="I4" i="41"/>
  <c r="I24" i="41" l="1"/>
  <c r="I9" i="41" s="1"/>
  <c r="I30" i="41" s="1"/>
  <c r="I21" i="41"/>
  <c r="I6" i="41" s="1"/>
  <c r="I27" i="41" s="1"/>
  <c r="I29" i="41"/>
  <c r="I23" i="41"/>
  <c r="I20" i="41"/>
  <c r="I17" i="41"/>
  <c r="I11" i="41"/>
  <c r="I8" i="41"/>
  <c r="I26" i="41"/>
  <c r="I14" i="41"/>
  <c r="I5" i="41"/>
  <c r="J4" i="41"/>
  <c r="J21" i="41" l="1"/>
  <c r="J6" i="41" s="1"/>
  <c r="J27" i="41" s="1"/>
  <c r="J24" i="41"/>
  <c r="J9" i="41" s="1"/>
  <c r="J30" i="41" s="1"/>
  <c r="J26" i="41"/>
  <c r="J20" i="41"/>
  <c r="J23" i="41"/>
  <c r="J17" i="41"/>
  <c r="J11" i="41"/>
  <c r="J14" i="41"/>
  <c r="J29" i="41"/>
  <c r="J5" i="41"/>
  <c r="K4" i="41"/>
  <c r="J8" i="41"/>
  <c r="K24" i="41" l="1"/>
  <c r="K9" i="41" s="1"/>
  <c r="K30" i="41" s="1"/>
  <c r="K21" i="41"/>
  <c r="K6" i="41" s="1"/>
  <c r="K27" i="41" s="1"/>
  <c r="K29" i="41"/>
  <c r="K20" i="41"/>
  <c r="K17" i="41"/>
  <c r="K14" i="41"/>
  <c r="K26" i="41"/>
  <c r="K23" i="41"/>
  <c r="K11" i="41"/>
  <c r="K5" i="41"/>
  <c r="L4" i="41"/>
  <c r="K8" i="41"/>
  <c r="L24" i="41" l="1"/>
  <c r="L9" i="41" s="1"/>
  <c r="L30" i="41" s="1"/>
  <c r="L21" i="41"/>
  <c r="L6" i="41" s="1"/>
  <c r="L27" i="41" s="1"/>
  <c r="L23" i="41"/>
  <c r="L26" i="41"/>
  <c r="L14" i="41"/>
  <c r="L29" i="41"/>
  <c r="L17" i="41"/>
  <c r="L20" i="41"/>
  <c r="L8" i="41"/>
  <c r="L5" i="41"/>
  <c r="M4" i="41"/>
  <c r="L11" i="41"/>
  <c r="M24" i="41" l="1"/>
  <c r="M9" i="41" s="1"/>
  <c r="M30" i="41" s="1"/>
  <c r="M21" i="41"/>
  <c r="M6" i="41" s="1"/>
  <c r="M27" i="41" s="1"/>
  <c r="M29" i="41"/>
  <c r="M26" i="41"/>
  <c r="M20" i="41"/>
  <c r="M11" i="41"/>
  <c r="M14" i="41"/>
  <c r="M8" i="41"/>
  <c r="M17" i="41"/>
  <c r="M23" i="41"/>
  <c r="N4" i="41"/>
  <c r="M5" i="41"/>
  <c r="N21" i="41" l="1"/>
  <c r="N6" i="41" s="1"/>
  <c r="N27" i="41" s="1"/>
  <c r="N24" i="41"/>
  <c r="N9" i="41" s="1"/>
  <c r="N30" i="41" s="1"/>
  <c r="N26" i="41"/>
  <c r="N20" i="41"/>
  <c r="N29" i="41"/>
  <c r="N23" i="41"/>
  <c r="N17" i="41"/>
  <c r="N11" i="41"/>
  <c r="O4" i="41"/>
  <c r="N5" i="41"/>
  <c r="N8" i="41"/>
  <c r="N14" i="41"/>
  <c r="O24" i="41" l="1"/>
  <c r="O9" i="41" s="1"/>
  <c r="O30" i="41" s="1"/>
  <c r="O21" i="41"/>
  <c r="O6" i="41" s="1"/>
  <c r="O27" i="41" s="1"/>
  <c r="O29" i="41"/>
  <c r="O23" i="41"/>
  <c r="O20" i="41"/>
  <c r="O26" i="41"/>
  <c r="O17" i="41"/>
  <c r="O14" i="41"/>
  <c r="O5" i="41"/>
  <c r="P4" i="41"/>
  <c r="O8" i="41"/>
  <c r="O11" i="41"/>
  <c r="P21" i="41" l="1"/>
  <c r="P6" i="41" s="1"/>
  <c r="P27" i="41" s="1"/>
  <c r="P24" i="41"/>
  <c r="P29" i="41"/>
  <c r="P23" i="41"/>
  <c r="P20" i="41"/>
  <c r="P14" i="41"/>
  <c r="P26" i="41"/>
  <c r="P17" i="41"/>
  <c r="P11" i="41"/>
  <c r="P8" i="41"/>
  <c r="P5" i="41"/>
  <c r="Q4" i="41"/>
  <c r="Q24" i="41" l="1"/>
  <c r="Q9" i="41" s="1"/>
  <c r="Q30" i="41" s="1"/>
  <c r="Q21" i="41"/>
  <c r="Q6" i="41" s="1"/>
  <c r="Q27" i="41" s="1"/>
  <c r="P9" i="41"/>
  <c r="P30" i="41" s="1"/>
  <c r="Q29" i="41"/>
  <c r="Q26" i="41"/>
  <c r="Q20" i="41"/>
  <c r="Q14" i="41"/>
  <c r="Q23" i="41"/>
  <c r="Q11" i="41"/>
  <c r="Q17" i="41"/>
  <c r="Q8" i="41"/>
  <c r="Q5" i="41"/>
  <c r="R4" i="41"/>
  <c r="R21" i="41" l="1"/>
  <c r="R24" i="41"/>
  <c r="R26" i="41"/>
  <c r="R20" i="41"/>
  <c r="R17" i="41"/>
  <c r="R23" i="41"/>
  <c r="R11" i="41"/>
  <c r="R29" i="41"/>
  <c r="S4" i="41"/>
  <c r="R5" i="41"/>
  <c r="R14" i="41"/>
  <c r="R8" i="41"/>
  <c r="S24" i="41" l="1"/>
  <c r="S9" i="41" s="1"/>
  <c r="S30" i="41" s="1"/>
  <c r="S21" i="41"/>
  <c r="S6" i="41" s="1"/>
  <c r="S27" i="41" s="1"/>
  <c r="R6" i="41"/>
  <c r="R27" i="41" s="1"/>
  <c r="R9" i="41"/>
  <c r="R30" i="41" s="1"/>
  <c r="S26" i="41"/>
  <c r="S23" i="41"/>
  <c r="S29" i="41"/>
  <c r="S20" i="41"/>
  <c r="S11" i="41"/>
  <c r="S5" i="41"/>
  <c r="T4" i="41"/>
  <c r="S14" i="41"/>
  <c r="S8" i="41"/>
  <c r="S17" i="41"/>
  <c r="T21" i="41" l="1"/>
  <c r="T24" i="41"/>
  <c r="U24" i="41" s="1"/>
  <c r="T23" i="41"/>
  <c r="T29" i="41"/>
  <c r="T20" i="41"/>
  <c r="T14" i="41"/>
  <c r="T17" i="41"/>
  <c r="T8" i="41"/>
  <c r="T26" i="41"/>
  <c r="T11" i="41"/>
  <c r="T5" i="41"/>
  <c r="U4" i="41"/>
  <c r="U21" i="41" l="1"/>
  <c r="U6" i="41" s="1"/>
  <c r="U27" i="41" s="1"/>
  <c r="T6" i="41"/>
  <c r="T27" i="41" s="1"/>
  <c r="U9" i="41"/>
  <c r="U30" i="41" s="1"/>
  <c r="T9" i="41"/>
  <c r="T30" i="41" s="1"/>
  <c r="U29" i="41"/>
  <c r="U23" i="41"/>
  <c r="U20" i="41"/>
  <c r="U17" i="41"/>
  <c r="U14" i="41"/>
  <c r="U11" i="41"/>
  <c r="U8" i="41"/>
  <c r="U26" i="41"/>
  <c r="U5" i="41"/>
  <c r="V4" i="41"/>
  <c r="V21" i="41" l="1"/>
  <c r="V6" i="41" s="1"/>
  <c r="V27" i="41" s="1"/>
  <c r="V24" i="41"/>
  <c r="V29" i="41"/>
  <c r="V26" i="41"/>
  <c r="V20" i="41"/>
  <c r="V17" i="41"/>
  <c r="V14" i="41"/>
  <c r="V11" i="41"/>
  <c r="W4" i="41"/>
  <c r="V23" i="41"/>
  <c r="V5" i="41"/>
  <c r="V8" i="41"/>
  <c r="L1" i="2"/>
  <c r="W24" i="41" l="1"/>
  <c r="W9" i="41" s="1"/>
  <c r="W30" i="41" s="1"/>
  <c r="BN1" i="2"/>
  <c r="BK1" i="2"/>
  <c r="BJ1" i="2"/>
  <c r="V9" i="41"/>
  <c r="V30" i="41" s="1"/>
  <c r="W21" i="41"/>
  <c r="W6" i="41" s="1"/>
  <c r="W27" i="41" s="1"/>
  <c r="W29" i="41"/>
  <c r="W26" i="41"/>
  <c r="W14" i="41"/>
  <c r="W5" i="41"/>
  <c r="X4" i="41"/>
  <c r="W17" i="41"/>
  <c r="W11" i="41"/>
  <c r="W8" i="41"/>
  <c r="W23" i="41"/>
  <c r="W20" i="41"/>
  <c r="BE15" i="2"/>
  <c r="BE14" i="2"/>
  <c r="BE13" i="2"/>
  <c r="BE12" i="2"/>
  <c r="BE31" i="2" l="1"/>
  <c r="BE33" i="2" s="1"/>
  <c r="X21" i="41"/>
  <c r="X24" i="41"/>
  <c r="X23" i="41"/>
  <c r="X26" i="41"/>
  <c r="X14" i="41"/>
  <c r="X8" i="41"/>
  <c r="X20" i="41"/>
  <c r="X17" i="41"/>
  <c r="X11" i="41"/>
  <c r="X29" i="41"/>
  <c r="X5" i="41"/>
  <c r="Y4" i="41"/>
  <c r="BE32" i="2" l="1"/>
  <c r="Y24" i="41"/>
  <c r="Y9" i="41" s="1"/>
  <c r="Y30" i="41" s="1"/>
  <c r="Y21" i="41"/>
  <c r="Y6" i="41" s="1"/>
  <c r="Y27" i="41" s="1"/>
  <c r="X6" i="41"/>
  <c r="X27" i="41" s="1"/>
  <c r="X9" i="41"/>
  <c r="X30" i="41" s="1"/>
  <c r="Y29" i="41"/>
  <c r="Y23" i="41"/>
  <c r="Y20" i="41"/>
  <c r="Y26" i="41"/>
  <c r="Y17" i="41"/>
  <c r="Y11" i="41"/>
  <c r="Y8" i="41"/>
  <c r="Y5" i="41"/>
  <c r="Y14" i="41"/>
  <c r="Z4" i="41"/>
  <c r="BB13" i="2"/>
  <c r="BA13" i="2"/>
  <c r="Z21" i="41" l="1"/>
  <c r="Z24" i="41"/>
  <c r="BA41" i="2"/>
  <c r="BE42" i="2" s="1"/>
  <c r="AW43" i="2"/>
  <c r="BE43" i="2" s="1"/>
  <c r="Z29" i="41"/>
  <c r="Z26" i="41"/>
  <c r="Z20" i="41"/>
  <c r="Z23" i="41"/>
  <c r="Z17" i="41"/>
  <c r="Z11" i="41"/>
  <c r="Z14" i="41"/>
  <c r="Z8" i="41"/>
  <c r="Z5" i="41"/>
  <c r="AA4" i="41"/>
  <c r="V1" i="40" l="1"/>
  <c r="AA21" i="41"/>
  <c r="AA6" i="41" s="1"/>
  <c r="AA27" i="41" s="1"/>
  <c r="Z6" i="41"/>
  <c r="Z27" i="41" s="1"/>
  <c r="AA24" i="41"/>
  <c r="AB24" i="41" s="1"/>
  <c r="Z9" i="41"/>
  <c r="Z30" i="41" s="1"/>
  <c r="AA20" i="41"/>
  <c r="AA26" i="41"/>
  <c r="AA17" i="41"/>
  <c r="AA14" i="41"/>
  <c r="AA23" i="41"/>
  <c r="AA11" i="41"/>
  <c r="AA5" i="41"/>
  <c r="AB4" i="41"/>
  <c r="AA29" i="41"/>
  <c r="AA8" i="41"/>
  <c r="BA32" i="2"/>
  <c r="BA31" i="2"/>
  <c r="AW34" i="2"/>
  <c r="AW33" i="2"/>
  <c r="AW32" i="2"/>
  <c r="BA33" i="2" l="1"/>
  <c r="BE34" i="2" s="1"/>
  <c r="AB9" i="41"/>
  <c r="AB30" i="41" s="1"/>
  <c r="AA9" i="41"/>
  <c r="AA30" i="41" s="1"/>
  <c r="AB21" i="41"/>
  <c r="AB6" i="41" s="1"/>
  <c r="L12" i="41"/>
  <c r="I12" i="41"/>
  <c r="H12" i="41"/>
  <c r="O12" i="41"/>
  <c r="K12" i="41"/>
  <c r="M12" i="41"/>
  <c r="F12" i="41"/>
  <c r="E12" i="41"/>
  <c r="J12" i="41"/>
  <c r="G12" i="41"/>
  <c r="N12" i="41"/>
  <c r="Q12" i="41"/>
  <c r="P12" i="41"/>
  <c r="R12" i="41"/>
  <c r="S12" i="41"/>
  <c r="T12" i="41"/>
  <c r="U12" i="41"/>
  <c r="V12" i="41"/>
  <c r="W12" i="41"/>
  <c r="X12" i="41"/>
  <c r="Y12" i="41"/>
  <c r="Z12" i="41"/>
  <c r="AB29" i="41"/>
  <c r="AB23" i="41"/>
  <c r="AB26" i="41"/>
  <c r="AB14" i="41"/>
  <c r="AB20" i="41"/>
  <c r="AB8" i="41"/>
  <c r="AB17" i="41"/>
  <c r="AB11" i="41"/>
  <c r="AB5" i="41"/>
  <c r="AC4" i="41"/>
  <c r="AC24" i="41" s="1"/>
  <c r="AW35" i="2"/>
  <c r="BE35" i="2" s="1"/>
  <c r="AA12" i="41" l="1"/>
  <c r="AB27" i="41"/>
  <c r="AB12" i="41"/>
  <c r="AC9" i="41"/>
  <c r="AC30" i="41" s="1"/>
  <c r="AC21" i="41"/>
  <c r="H15" i="41"/>
  <c r="L15" i="41"/>
  <c r="J15" i="41"/>
  <c r="K15" i="41"/>
  <c r="R15" i="41"/>
  <c r="E15" i="41"/>
  <c r="I15" i="41"/>
  <c r="M15" i="41"/>
  <c r="F15" i="41"/>
  <c r="N15" i="41"/>
  <c r="G15" i="41"/>
  <c r="O15" i="41"/>
  <c r="AC29" i="41"/>
  <c r="AC26" i="41"/>
  <c r="AC23" i="41"/>
  <c r="AC11" i="41"/>
  <c r="AC20" i="41"/>
  <c r="AC14" i="41"/>
  <c r="AC8" i="41"/>
  <c r="AC17" i="41"/>
  <c r="AD4" i="41"/>
  <c r="AC5" i="41"/>
  <c r="P15" i="41"/>
  <c r="Q15" i="41"/>
  <c r="AD21" i="41" l="1"/>
  <c r="AC6" i="41"/>
  <c r="AD24" i="41"/>
  <c r="F18" i="41"/>
  <c r="E18" i="41"/>
  <c r="H18" i="41"/>
  <c r="O18" i="41"/>
  <c r="R18" i="41"/>
  <c r="Q18" i="41"/>
  <c r="J18" i="41"/>
  <c r="I18" i="41"/>
  <c r="K18" i="41"/>
  <c r="P18" i="41"/>
  <c r="G18" i="41"/>
  <c r="N18" i="41"/>
  <c r="M18" i="41"/>
  <c r="L18" i="41"/>
  <c r="S15" i="41"/>
  <c r="S18" i="41" s="1"/>
  <c r="AD29" i="41"/>
  <c r="AD26" i="41"/>
  <c r="AD20" i="41"/>
  <c r="AD23" i="41"/>
  <c r="AD17" i="41"/>
  <c r="AD11" i="41"/>
  <c r="AE4" i="41"/>
  <c r="AD14" i="41"/>
  <c r="AD8" i="41"/>
  <c r="AD5" i="41"/>
  <c r="AC27" i="41" l="1"/>
  <c r="AC12" i="41"/>
  <c r="AE21" i="41"/>
  <c r="AE6" i="41" s="1"/>
  <c r="AD6" i="41"/>
  <c r="AE24" i="41"/>
  <c r="AD9" i="41"/>
  <c r="AD30" i="41" s="1"/>
  <c r="AE23" i="41"/>
  <c r="AE29" i="41"/>
  <c r="AE20" i="41"/>
  <c r="AE17" i="41"/>
  <c r="AE14" i="41"/>
  <c r="AE8" i="41"/>
  <c r="AE5" i="41"/>
  <c r="AF4" i="41"/>
  <c r="AE11" i="41"/>
  <c r="AE26" i="41"/>
  <c r="T15" i="41"/>
  <c r="V15" i="40" l="1"/>
  <c r="V14" i="40"/>
  <c r="V13" i="40"/>
  <c r="V4" i="40"/>
  <c r="V9" i="40"/>
  <c r="V11" i="40"/>
  <c r="V7" i="40"/>
  <c r="V8" i="40"/>
  <c r="V5" i="40"/>
  <c r="V12" i="40"/>
  <c r="V10" i="40"/>
  <c r="V6" i="40"/>
  <c r="AE27" i="41"/>
  <c r="AF24" i="41"/>
  <c r="AF9" i="41" s="1"/>
  <c r="AF30" i="41" s="1"/>
  <c r="AE9" i="41"/>
  <c r="AE30" i="41" s="1"/>
  <c r="AD27" i="41"/>
  <c r="AD12" i="41"/>
  <c r="AF21" i="41"/>
  <c r="AG21" i="41" s="1"/>
  <c r="T18" i="41"/>
  <c r="AF29" i="41"/>
  <c r="AF23" i="41"/>
  <c r="AF20" i="41"/>
  <c r="AF14" i="41"/>
  <c r="AF17" i="41"/>
  <c r="AF8" i="41"/>
  <c r="AF26" i="41"/>
  <c r="AF11" i="41"/>
  <c r="AF5" i="41"/>
  <c r="AG4" i="41"/>
  <c r="U15" i="41"/>
  <c r="AF6" i="41" l="1"/>
  <c r="AG6" i="41"/>
  <c r="AE12" i="41"/>
  <c r="AG24" i="41"/>
  <c r="U18" i="41"/>
  <c r="AG29" i="41"/>
  <c r="AG26" i="41"/>
  <c r="AG14" i="41"/>
  <c r="AG11" i="41"/>
  <c r="AG23" i="41"/>
  <c r="AG17" i="41"/>
  <c r="AG20" i="41"/>
  <c r="AG8" i="41"/>
  <c r="AG5" i="41"/>
  <c r="AH4" i="41"/>
  <c r="V15" i="41"/>
  <c r="V2" i="40" l="1"/>
  <c r="V3" i="40"/>
  <c r="AG27" i="41"/>
  <c r="AH24" i="41"/>
  <c r="AG9" i="41"/>
  <c r="AG30" i="41" s="1"/>
  <c r="AH21" i="41"/>
  <c r="AF27" i="41"/>
  <c r="AF12" i="41"/>
  <c r="V18" i="41"/>
  <c r="W15" i="41"/>
  <c r="W18" i="41" s="1"/>
  <c r="AH29" i="41"/>
  <c r="AH26" i="41"/>
  <c r="AH20" i="41"/>
  <c r="AH17" i="41"/>
  <c r="AH11" i="41"/>
  <c r="AH14" i="41"/>
  <c r="AI4" i="41"/>
  <c r="AH8" i="41"/>
  <c r="AH5" i="41"/>
  <c r="AH23" i="41"/>
  <c r="V16" i="40" l="1"/>
  <c r="AG12" i="41"/>
  <c r="AI21" i="41"/>
  <c r="AH6" i="41"/>
  <c r="AI24" i="41"/>
  <c r="AH9" i="41"/>
  <c r="AH30" i="41" s="1"/>
  <c r="AI29" i="41"/>
  <c r="AI26" i="41"/>
  <c r="AI23" i="41"/>
  <c r="AI20" i="41"/>
  <c r="AI11" i="41"/>
  <c r="AI5" i="41"/>
  <c r="AJ4" i="41"/>
  <c r="AI17" i="41"/>
  <c r="AI8" i="41"/>
  <c r="AI14" i="41"/>
  <c r="X15" i="41"/>
  <c r="X18" i="41" s="1"/>
  <c r="V17" i="40" l="1"/>
  <c r="AJ21" i="41"/>
  <c r="AJ6" i="41" s="1"/>
  <c r="AI6" i="41"/>
  <c r="AJ24" i="41"/>
  <c r="AJ9" i="41" s="1"/>
  <c r="AJ30" i="41" s="1"/>
  <c r="AI9" i="41"/>
  <c r="AI30" i="41" s="1"/>
  <c r="AH27" i="41"/>
  <c r="AH12" i="41"/>
  <c r="Y15" i="41"/>
  <c r="Y18" i="41" s="1"/>
  <c r="AJ29" i="41"/>
  <c r="AJ23" i="41"/>
  <c r="AJ20" i="41"/>
  <c r="AJ14" i="41"/>
  <c r="AJ8" i="41"/>
  <c r="AJ26" i="41"/>
  <c r="AJ17" i="41"/>
  <c r="AJ11" i="41"/>
  <c r="AJ5" i="41"/>
  <c r="AK4" i="41"/>
  <c r="V18" i="40" l="1"/>
  <c r="AJ12" i="41"/>
  <c r="AJ27" i="41"/>
  <c r="AK24" i="41"/>
  <c r="AK9" i="41" s="1"/>
  <c r="AK30" i="41" s="1"/>
  <c r="AI27" i="41"/>
  <c r="AI12" i="41"/>
  <c r="AK21" i="41"/>
  <c r="AK29" i="41"/>
  <c r="AK23" i="41"/>
  <c r="AK20" i="41"/>
  <c r="AK26" i="41"/>
  <c r="AK17" i="41"/>
  <c r="AK14" i="41"/>
  <c r="AK11" i="41"/>
  <c r="AK8" i="41"/>
  <c r="AK5" i="41"/>
  <c r="AL4" i="41"/>
  <c r="Z15" i="41"/>
  <c r="Z18" i="41" s="1"/>
  <c r="V19" i="40" l="1"/>
  <c r="AL21" i="41"/>
  <c r="AL6" i="41" s="1"/>
  <c r="AL24" i="41"/>
  <c r="AL9" i="41" s="1"/>
  <c r="AL30" i="41" s="1"/>
  <c r="AK6" i="41"/>
  <c r="AA15" i="41"/>
  <c r="AA18" i="41" s="1"/>
  <c r="AL26" i="41"/>
  <c r="AL20" i="41"/>
  <c r="AL17" i="41"/>
  <c r="AL14" i="41"/>
  <c r="AL11" i="41"/>
  <c r="AL29" i="41"/>
  <c r="AL23" i="41"/>
  <c r="AM4" i="41"/>
  <c r="AL5" i="41"/>
  <c r="AL8" i="41"/>
  <c r="V20" i="40" l="1"/>
  <c r="AM21" i="41"/>
  <c r="AM6" i="41" s="1"/>
  <c r="AL12" i="41"/>
  <c r="AL27" i="41"/>
  <c r="AK12" i="41"/>
  <c r="AK27" i="41"/>
  <c r="AM24" i="41"/>
  <c r="AM9" i="41" s="1"/>
  <c r="AM29" i="41"/>
  <c r="AM26" i="41"/>
  <c r="AM23" i="41"/>
  <c r="AM20" i="41"/>
  <c r="AM17" i="41"/>
  <c r="AM5" i="41"/>
  <c r="AN4" i="41"/>
  <c r="AM14" i="41"/>
  <c r="AM11" i="41"/>
  <c r="AM8" i="41"/>
  <c r="AB15" i="41"/>
  <c r="AB18" i="41" s="1"/>
  <c r="V21" i="40" l="1"/>
  <c r="AN6" i="41"/>
  <c r="AN27" i="41" s="1"/>
  <c r="AM12" i="41"/>
  <c r="AM27" i="41"/>
  <c r="AN9" i="41"/>
  <c r="AM30" i="41"/>
  <c r="AN29" i="41"/>
  <c r="AN26" i="41"/>
  <c r="AN14" i="41"/>
  <c r="AN8" i="41"/>
  <c r="AN11" i="41"/>
  <c r="AN17" i="41"/>
  <c r="AN5" i="41"/>
  <c r="AO4" i="41"/>
  <c r="AC15" i="41"/>
  <c r="AC18" i="41" s="1"/>
  <c r="V22" i="40" l="1"/>
  <c r="AO6" i="41"/>
  <c r="AO27" i="41" s="1"/>
  <c r="AO9" i="41"/>
  <c r="AN30" i="41"/>
  <c r="AO29" i="41"/>
  <c r="AO17" i="41"/>
  <c r="AO11" i="41"/>
  <c r="AO14" i="41"/>
  <c r="AO8" i="41"/>
  <c r="AO26" i="41"/>
  <c r="AO5" i="41"/>
  <c r="AP4" i="41"/>
  <c r="AD15" i="41"/>
  <c r="AD18" i="41" s="1"/>
  <c r="V23" i="40" l="1"/>
  <c r="AP6" i="41"/>
  <c r="AP27" i="41" s="1"/>
  <c r="AP9" i="41"/>
  <c r="AO30" i="41"/>
  <c r="AP29" i="41"/>
  <c r="AP26" i="41"/>
  <c r="AP17" i="41"/>
  <c r="AP11" i="41"/>
  <c r="AP14" i="41"/>
  <c r="AP8" i="41"/>
  <c r="AP5" i="41"/>
  <c r="AQ4" i="41"/>
  <c r="AE15" i="41"/>
  <c r="AE18" i="41" s="1"/>
  <c r="V24" i="40" l="1"/>
  <c r="AQ6" i="41"/>
  <c r="AQ27" i="41" s="1"/>
  <c r="AQ9" i="41"/>
  <c r="AP30" i="41"/>
  <c r="AF15" i="41"/>
  <c r="AF18" i="41" s="1"/>
  <c r="AQ29" i="41"/>
  <c r="AQ17" i="41"/>
  <c r="AQ14" i="41"/>
  <c r="AQ8" i="41"/>
  <c r="AQ11" i="41"/>
  <c r="AQ5" i="41"/>
  <c r="AR4" i="41"/>
  <c r="AQ26" i="41"/>
  <c r="V25" i="40" l="1"/>
  <c r="AR6" i="41"/>
  <c r="AR27" i="41" s="1"/>
  <c r="AR9" i="41"/>
  <c r="AQ30" i="41"/>
  <c r="AG15" i="41"/>
  <c r="AG18" i="41" s="1"/>
  <c r="AR29" i="41"/>
  <c r="AR26" i="41"/>
  <c r="AR14" i="41"/>
  <c r="AR8" i="41"/>
  <c r="AR17" i="41"/>
  <c r="AR5" i="41"/>
  <c r="AS4" i="41"/>
  <c r="AR11" i="41"/>
  <c r="V26" i="40" l="1"/>
  <c r="AS6" i="41"/>
  <c r="AS27" i="41" s="1"/>
  <c r="AS9" i="41"/>
  <c r="AR30" i="41"/>
  <c r="AH15" i="41"/>
  <c r="AH18" i="41" s="1"/>
  <c r="AS29" i="41"/>
  <c r="AS26" i="41"/>
  <c r="AS11" i="41"/>
  <c r="AS14" i="41"/>
  <c r="AS17" i="41"/>
  <c r="AS8" i="41"/>
  <c r="AS5" i="41"/>
  <c r="AT4" i="41"/>
  <c r="V27" i="40" l="1"/>
  <c r="AT6" i="41"/>
  <c r="AT27" i="41" s="1"/>
  <c r="AT9" i="41"/>
  <c r="AS30" i="41"/>
  <c r="AI15" i="41"/>
  <c r="AI18" i="41" s="1"/>
  <c r="AT26" i="41"/>
  <c r="AT29" i="41"/>
  <c r="AT17" i="41"/>
  <c r="AT11" i="41"/>
  <c r="AU4" i="41"/>
  <c r="AT8" i="41"/>
  <c r="AT5" i="41"/>
  <c r="AT14" i="41"/>
  <c r="V28" i="40" l="1"/>
  <c r="AU6" i="41"/>
  <c r="AU27" i="41" s="1"/>
  <c r="AU9" i="41"/>
  <c r="AT30" i="41"/>
  <c r="AU29" i="41"/>
  <c r="AU26" i="41"/>
  <c r="AU17" i="41"/>
  <c r="AU14" i="41"/>
  <c r="AU8" i="41"/>
  <c r="AU5" i="41"/>
  <c r="AV4" i="41"/>
  <c r="AU11" i="41"/>
  <c r="AJ15" i="41"/>
  <c r="AJ18" i="41" s="1"/>
  <c r="V29" i="40" l="1"/>
  <c r="AV6" i="41"/>
  <c r="AV27" i="41" s="1"/>
  <c r="AV9" i="41"/>
  <c r="AU30" i="41"/>
  <c r="AK15" i="41"/>
  <c r="AK18" i="41" s="1"/>
  <c r="AV29" i="41"/>
  <c r="AV14" i="41"/>
  <c r="AV26" i="41"/>
  <c r="AV17" i="41"/>
  <c r="AV8" i="41"/>
  <c r="AV11" i="41"/>
  <c r="AV5" i="41"/>
  <c r="AW4" i="41"/>
  <c r="V30" i="40" l="1"/>
  <c r="AW6" i="41"/>
  <c r="AW27" i="41" s="1"/>
  <c r="AW9" i="41"/>
  <c r="AV30" i="41"/>
  <c r="AW29" i="41"/>
  <c r="AW26" i="41"/>
  <c r="AW14" i="41"/>
  <c r="AW11" i="41"/>
  <c r="AW17" i="41"/>
  <c r="AW8" i="41"/>
  <c r="AW5" i="41"/>
  <c r="AX4" i="41"/>
  <c r="AL15" i="41"/>
  <c r="AL18" i="41" s="1"/>
  <c r="AM15" i="41"/>
  <c r="V31" i="40" l="1"/>
  <c r="AX6" i="41"/>
  <c r="AX27" i="41" s="1"/>
  <c r="AX9" i="41"/>
  <c r="AW30" i="41"/>
  <c r="AM18" i="41"/>
  <c r="AN12" i="41"/>
  <c r="AN15" i="41" s="1"/>
  <c r="AN18" i="41" s="1"/>
  <c r="AX29" i="41"/>
  <c r="AX26" i="41"/>
  <c r="AX17" i="41"/>
  <c r="AX11" i="41"/>
  <c r="AX8" i="41"/>
  <c r="AY4" i="41"/>
  <c r="AX14" i="41"/>
  <c r="AX5" i="41"/>
  <c r="V32" i="40" l="1"/>
  <c r="AY6" i="41"/>
  <c r="AY27" i="41" s="1"/>
  <c r="AY9" i="41"/>
  <c r="AX30" i="41"/>
  <c r="AO12" i="41"/>
  <c r="AO15" i="41" s="1"/>
  <c r="AY29" i="41"/>
  <c r="AY26" i="41"/>
  <c r="AY8" i="41"/>
  <c r="AY11" i="41"/>
  <c r="AY5" i="41"/>
  <c r="AZ4" i="41"/>
  <c r="AY14" i="41"/>
  <c r="AY17" i="41"/>
  <c r="V33" i="40" l="1"/>
  <c r="AZ6" i="41"/>
  <c r="AZ27" i="41" s="1"/>
  <c r="AZ9" i="41"/>
  <c r="AY30" i="41"/>
  <c r="AO18" i="41"/>
  <c r="AP12" i="41"/>
  <c r="AP15" i="41" s="1"/>
  <c r="AP18" i="41" s="1"/>
  <c r="AZ29" i="41"/>
  <c r="AZ14" i="41"/>
  <c r="AZ8" i="41"/>
  <c r="AZ17" i="41"/>
  <c r="AZ26" i="41"/>
  <c r="AZ11" i="41"/>
  <c r="AZ5" i="41"/>
  <c r="BA4" i="41"/>
  <c r="V34" i="40" l="1"/>
  <c r="BA6" i="41"/>
  <c r="BA27" i="41" s="1"/>
  <c r="BA9" i="41"/>
  <c r="AZ30" i="41"/>
  <c r="BA29" i="41"/>
  <c r="BA17" i="41"/>
  <c r="BA14" i="41"/>
  <c r="BA11" i="41"/>
  <c r="BA26" i="41"/>
  <c r="BA8" i="41"/>
  <c r="BB4" i="41"/>
  <c r="BA5" i="41"/>
  <c r="AQ12" i="41"/>
  <c r="AQ15" i="41" s="1"/>
  <c r="AQ18" i="41" s="1"/>
  <c r="V35" i="40" l="1"/>
  <c r="BB6" i="41"/>
  <c r="BB27" i="41" s="1"/>
  <c r="BB9" i="41"/>
  <c r="BA30" i="41"/>
  <c r="AR12" i="41"/>
  <c r="AR15" i="41" s="1"/>
  <c r="AR18" i="41" s="1"/>
  <c r="BB26" i="41"/>
  <c r="BB17" i="41"/>
  <c r="BB14" i="41"/>
  <c r="BB11" i="41"/>
  <c r="BC4" i="41"/>
  <c r="BB8" i="41"/>
  <c r="BB29" i="41"/>
  <c r="BB5" i="41"/>
  <c r="V36" i="40" l="1"/>
  <c r="V39" i="40"/>
  <c r="BC6" i="41"/>
  <c r="BC27" i="41" s="1"/>
  <c r="BC9" i="41"/>
  <c r="BB30" i="41"/>
  <c r="AS12" i="41"/>
  <c r="AS15" i="41" s="1"/>
  <c r="AS18" i="41" s="1"/>
  <c r="BC26" i="41"/>
  <c r="BC8" i="41"/>
  <c r="BC29" i="41"/>
  <c r="BC14" i="41"/>
  <c r="BC5" i="41"/>
  <c r="BD4" i="41"/>
  <c r="BC17" i="41"/>
  <c r="BC11" i="41"/>
  <c r="V37" i="40" l="1"/>
  <c r="BD6" i="41"/>
  <c r="BD27" i="41" s="1"/>
  <c r="BD9" i="41"/>
  <c r="BC30" i="41"/>
  <c r="AT12" i="41"/>
  <c r="AT15" i="41" s="1"/>
  <c r="AT18" i="41" s="1"/>
  <c r="BD29" i="41"/>
  <c r="BD26" i="41"/>
  <c r="BD14" i="41"/>
  <c r="BD8" i="41"/>
  <c r="BD17" i="41"/>
  <c r="BD11" i="41"/>
  <c r="BD5" i="41"/>
  <c r="BE4" i="41"/>
  <c r="V38" i="40" l="1"/>
  <c r="BE6" i="41"/>
  <c r="BE27" i="41" s="1"/>
  <c r="BE9" i="41"/>
  <c r="BD30" i="41"/>
  <c r="BE29" i="41"/>
  <c r="BE26" i="41"/>
  <c r="BE17" i="41"/>
  <c r="BE11" i="41"/>
  <c r="BE8" i="41"/>
  <c r="BE5" i="41"/>
  <c r="BE14" i="41"/>
  <c r="BF4" i="41"/>
  <c r="AU12" i="41"/>
  <c r="AU15" i="41" s="1"/>
  <c r="AU18" i="41" s="1"/>
  <c r="V40" i="40" l="1"/>
  <c r="BF6" i="41"/>
  <c r="BF27" i="41" s="1"/>
  <c r="BF9" i="41"/>
  <c r="BE30" i="41"/>
  <c r="AV12" i="41"/>
  <c r="AV15" i="41" s="1"/>
  <c r="AV18" i="41" s="1"/>
  <c r="BF29" i="41"/>
  <c r="BF26" i="41"/>
  <c r="BF17" i="41"/>
  <c r="BF11" i="41"/>
  <c r="BF14" i="41"/>
  <c r="BF8" i="41"/>
  <c r="BF5" i="41"/>
  <c r="BG4" i="41"/>
  <c r="V41" i="40" l="1"/>
  <c r="BG6" i="41"/>
  <c r="BG27" i="41" s="1"/>
  <c r="BG9" i="41"/>
  <c r="BF30" i="41"/>
  <c r="BG29" i="41"/>
  <c r="BG26" i="41"/>
  <c r="BG17" i="41"/>
  <c r="BG14" i="41"/>
  <c r="BG8" i="41"/>
  <c r="BG11" i="41"/>
  <c r="BG5" i="41"/>
  <c r="BH4" i="41"/>
  <c r="AW12" i="41"/>
  <c r="AW15" i="41" s="1"/>
  <c r="AW18" i="41" s="1"/>
  <c r="V42" i="40" l="1"/>
  <c r="BH6" i="41"/>
  <c r="BH27" i="41" s="1"/>
  <c r="BH9" i="41"/>
  <c r="BG30" i="41"/>
  <c r="AX12" i="41"/>
  <c r="AX15" i="41" s="1"/>
  <c r="AX18" i="41" s="1"/>
  <c r="BH29" i="41"/>
  <c r="BH26" i="41"/>
  <c r="BH14" i="41"/>
  <c r="BH8" i="41"/>
  <c r="BH17" i="41"/>
  <c r="BH11" i="41"/>
  <c r="BH5" i="41"/>
  <c r="BI4" i="41"/>
  <c r="V43" i="40" l="1"/>
  <c r="BI6" i="41"/>
  <c r="BI27" i="41" s="1"/>
  <c r="BI9" i="41"/>
  <c r="BH30" i="41"/>
  <c r="BI29" i="41"/>
  <c r="BI26" i="41"/>
  <c r="BI11" i="41"/>
  <c r="BI14" i="41"/>
  <c r="BI17" i="41"/>
  <c r="BI8" i="41"/>
  <c r="BI5" i="41"/>
  <c r="BJ4" i="41"/>
  <c r="AY12" i="41"/>
  <c r="AY15" i="41" s="1"/>
  <c r="AY18" i="41" s="1"/>
  <c r="V44" i="40" l="1"/>
  <c r="BJ6" i="41"/>
  <c r="BJ27" i="41" s="1"/>
  <c r="BJ9" i="41"/>
  <c r="BI30" i="41"/>
  <c r="AZ12" i="41"/>
  <c r="AZ15" i="41" s="1"/>
  <c r="AZ18" i="41" s="1"/>
  <c r="BJ29" i="41"/>
  <c r="BJ26" i="41"/>
  <c r="BJ17" i="41"/>
  <c r="BJ11" i="41"/>
  <c r="BK4" i="41"/>
  <c r="BJ14" i="41"/>
  <c r="BJ5" i="41"/>
  <c r="BJ8" i="41"/>
  <c r="V45" i="40" l="1"/>
  <c r="BK6" i="41"/>
  <c r="BK27" i="41" s="1"/>
  <c r="BK9" i="41"/>
  <c r="BJ30" i="41"/>
  <c r="BA12" i="41"/>
  <c r="BA15" i="41" s="1"/>
  <c r="BA18" i="41" s="1"/>
  <c r="BK29" i="41"/>
  <c r="BK17" i="41"/>
  <c r="BK14" i="41"/>
  <c r="BK8" i="41"/>
  <c r="BK5" i="41"/>
  <c r="BL4" i="41"/>
  <c r="BK11" i="41"/>
  <c r="BK26" i="41"/>
  <c r="V46" i="40" l="1"/>
  <c r="BL6" i="41"/>
  <c r="BL27" i="41" s="1"/>
  <c r="BL9" i="41"/>
  <c r="BK30" i="41"/>
  <c r="BL29" i="41"/>
  <c r="BL14" i="41"/>
  <c r="BL17" i="41"/>
  <c r="BL8" i="41"/>
  <c r="BL26" i="41"/>
  <c r="BL11" i="41"/>
  <c r="BL5" i="41"/>
  <c r="BM4" i="41"/>
  <c r="BB12" i="41"/>
  <c r="BB15" i="41" s="1"/>
  <c r="BB18" i="41" s="1"/>
  <c r="V47" i="40" l="1"/>
  <c r="BM6" i="41"/>
  <c r="BM27" i="41" s="1"/>
  <c r="BM9" i="41"/>
  <c r="BL30" i="41"/>
  <c r="BC12" i="41"/>
  <c r="BC15" i="41" s="1"/>
  <c r="BC18" i="41" s="1"/>
  <c r="BM29" i="41"/>
  <c r="BM26" i="41"/>
  <c r="BM14" i="41"/>
  <c r="BM11" i="41"/>
  <c r="BM17" i="41"/>
  <c r="BM8" i="41"/>
  <c r="BM5" i="41"/>
  <c r="BN4" i="41"/>
  <c r="V48" i="40" l="1"/>
  <c r="BN6" i="41"/>
  <c r="BN27" i="41" s="1"/>
  <c r="BN9" i="41"/>
  <c r="BM30" i="41"/>
  <c r="BN29" i="41"/>
  <c r="BN26" i="41"/>
  <c r="BN17" i="41"/>
  <c r="BN11" i="41"/>
  <c r="BN14" i="41"/>
  <c r="BN8" i="41"/>
  <c r="BO4" i="41"/>
  <c r="BN5" i="41"/>
  <c r="BD12" i="41"/>
  <c r="BD15" i="41" s="1"/>
  <c r="BD18" i="41" s="1"/>
  <c r="BO6" i="41" l="1"/>
  <c r="BO27" i="41" s="1"/>
  <c r="V49" i="40"/>
  <c r="BO9" i="41"/>
  <c r="BN30" i="41"/>
  <c r="BE12" i="41"/>
  <c r="BE15" i="41" s="1"/>
  <c r="BE18" i="41" s="1"/>
  <c r="BO26" i="41"/>
  <c r="BO29" i="41"/>
  <c r="BO8" i="41"/>
  <c r="BO11" i="41"/>
  <c r="BO5" i="41"/>
  <c r="BP4" i="41"/>
  <c r="BO17" i="41"/>
  <c r="BO14" i="41"/>
  <c r="BP6" i="41" l="1"/>
  <c r="BP27" i="41" s="1"/>
  <c r="V50" i="40"/>
  <c r="BP9" i="41"/>
  <c r="BO30" i="41"/>
  <c r="BF12" i="41"/>
  <c r="BF15" i="41" s="1"/>
  <c r="BF18" i="41" s="1"/>
  <c r="BP29" i="41"/>
  <c r="BP14" i="41"/>
  <c r="BP8" i="41"/>
  <c r="BP26" i="41"/>
  <c r="BP17" i="41"/>
  <c r="BP11" i="41"/>
  <c r="BP5" i="41"/>
  <c r="BQ4" i="41"/>
  <c r="BQ6" i="41" l="1"/>
  <c r="BQ27" i="41" s="1"/>
  <c r="V51" i="40"/>
  <c r="BQ9" i="41"/>
  <c r="BP30" i="41"/>
  <c r="BQ29" i="41"/>
  <c r="BQ26" i="41"/>
  <c r="BQ17" i="41"/>
  <c r="BQ14" i="41"/>
  <c r="BQ11" i="41"/>
  <c r="BQ8" i="41"/>
  <c r="BR4" i="41"/>
  <c r="BQ5" i="41"/>
  <c r="BG12" i="41"/>
  <c r="BG15" i="41" s="1"/>
  <c r="BG18" i="41" s="1"/>
  <c r="BR6" i="41" l="1"/>
  <c r="BR27" i="41" s="1"/>
  <c r="V52" i="40"/>
  <c r="V55" i="40"/>
  <c r="BR9" i="41"/>
  <c r="BQ30" i="41"/>
  <c r="BH12" i="41"/>
  <c r="BH15" i="41" s="1"/>
  <c r="BH18" i="41" s="1"/>
  <c r="BR26" i="41"/>
  <c r="BR17" i="41"/>
  <c r="BR29" i="41"/>
  <c r="BR14" i="41"/>
  <c r="BR11" i="41"/>
  <c r="BS4" i="41"/>
  <c r="BR8" i="41"/>
  <c r="BR5" i="41"/>
  <c r="BS6" i="41" l="1"/>
  <c r="BS27" i="41" s="1"/>
  <c r="V53" i="40"/>
  <c r="BS9" i="41"/>
  <c r="BR30" i="41"/>
  <c r="BS29" i="41"/>
  <c r="BS26" i="41"/>
  <c r="BS8" i="41"/>
  <c r="BS17" i="41"/>
  <c r="BS5" i="41"/>
  <c r="BT4" i="41"/>
  <c r="BS14" i="41"/>
  <c r="BS11" i="41"/>
  <c r="BI12" i="41"/>
  <c r="BI15" i="41" s="1"/>
  <c r="BI18" i="41" s="1"/>
  <c r="BT6" i="41" l="1"/>
  <c r="BT27" i="41" s="1"/>
  <c r="V54" i="40"/>
  <c r="BT9" i="41"/>
  <c r="BS30" i="41"/>
  <c r="BT29" i="41"/>
  <c r="BT26" i="41"/>
  <c r="BT14" i="41"/>
  <c r="BT8" i="41"/>
  <c r="BT11" i="41"/>
  <c r="BT17" i="41"/>
  <c r="BT5" i="41"/>
  <c r="BU4" i="41"/>
  <c r="BJ12" i="41"/>
  <c r="BJ15" i="41" s="1"/>
  <c r="BJ18" i="41" s="1"/>
  <c r="BU6" i="41" l="1"/>
  <c r="BU27" i="41" s="1"/>
  <c r="BU9" i="41"/>
  <c r="BT30" i="41"/>
  <c r="BK12" i="41"/>
  <c r="BK15" i="41" s="1"/>
  <c r="BK18" i="41" s="1"/>
  <c r="BU29" i="41"/>
  <c r="BU17" i="41"/>
  <c r="BU11" i="41"/>
  <c r="BU26" i="41"/>
  <c r="BU14" i="41"/>
  <c r="BU8" i="41"/>
  <c r="BU5" i="41"/>
  <c r="BV4" i="41"/>
  <c r="BV6" i="41" l="1"/>
  <c r="BV27" i="41" s="1"/>
  <c r="V56" i="40"/>
  <c r="V59" i="40"/>
  <c r="BV9" i="41"/>
  <c r="BU30" i="41"/>
  <c r="BV29" i="41"/>
  <c r="BV26" i="41"/>
  <c r="BV17" i="41"/>
  <c r="BV11" i="41"/>
  <c r="BV14" i="41"/>
  <c r="BV8" i="41"/>
  <c r="BV5" i="41"/>
  <c r="BW4" i="41"/>
  <c r="BL12" i="41"/>
  <c r="BL15" i="41" s="1"/>
  <c r="BL18" i="41" s="1"/>
  <c r="BW6" i="41" l="1"/>
  <c r="BW27" i="41" s="1"/>
  <c r="V57" i="40"/>
  <c r="BW9" i="41"/>
  <c r="BV30" i="41"/>
  <c r="BM12" i="41"/>
  <c r="BM15" i="41" s="1"/>
  <c r="BM18" i="41" s="1"/>
  <c r="BW29" i="41"/>
  <c r="BW17" i="41"/>
  <c r="BW14" i="41"/>
  <c r="BW8" i="41"/>
  <c r="BW26" i="41"/>
  <c r="BW11" i="41"/>
  <c r="BW5" i="41"/>
  <c r="BX4" i="41"/>
  <c r="BX6" i="41" l="1"/>
  <c r="BX27" i="41" s="1"/>
  <c r="V58" i="40"/>
  <c r="BX9" i="41"/>
  <c r="BW30" i="41"/>
  <c r="BX29" i="41"/>
  <c r="BX26" i="41"/>
  <c r="BX14" i="41"/>
  <c r="BX8" i="41"/>
  <c r="BX17" i="41"/>
  <c r="BX5" i="41"/>
  <c r="BY4" i="41"/>
  <c r="BX11" i="41"/>
  <c r="BN12" i="41"/>
  <c r="BN15" i="41" s="1"/>
  <c r="BN18" i="41" s="1"/>
  <c r="BY6" i="41" l="1"/>
  <c r="BY27" i="41" s="1"/>
  <c r="BY9" i="41"/>
  <c r="BX30" i="41"/>
  <c r="BO12" i="41"/>
  <c r="BO15" i="41" s="1"/>
  <c r="BO18" i="41" s="1"/>
  <c r="BY29" i="41"/>
  <c r="BY26" i="41"/>
  <c r="BY11" i="41"/>
  <c r="BY14" i="41"/>
  <c r="BY17" i="41"/>
  <c r="BY5" i="41"/>
  <c r="BY8" i="41"/>
  <c r="BZ4" i="41"/>
  <c r="BZ6" i="41" l="1"/>
  <c r="BZ27" i="41" s="1"/>
  <c r="V60" i="40"/>
  <c r="BZ9" i="41"/>
  <c r="BY30" i="41"/>
  <c r="BZ26" i="41"/>
  <c r="BZ29" i="41"/>
  <c r="BZ17" i="41"/>
  <c r="BZ11" i="41"/>
  <c r="CA4" i="41"/>
  <c r="BZ8" i="41"/>
  <c r="BZ5" i="41"/>
  <c r="BZ14" i="41"/>
  <c r="BP12" i="41"/>
  <c r="BP15" i="41" s="1"/>
  <c r="BP18" i="41" s="1"/>
  <c r="V61" i="40" l="1"/>
  <c r="CA6" i="41"/>
  <c r="CA27" i="41" s="1"/>
  <c r="CA9" i="41"/>
  <c r="BZ30" i="41"/>
  <c r="CA26" i="41"/>
  <c r="CA17" i="41"/>
  <c r="CA14" i="41"/>
  <c r="CA8" i="41"/>
  <c r="CA5" i="41"/>
  <c r="CB4" i="41"/>
  <c r="CA11" i="41"/>
  <c r="CA29" i="41"/>
  <c r="BQ12" i="41"/>
  <c r="BQ15" i="41" s="1"/>
  <c r="BQ18" i="41" s="1"/>
  <c r="V62" i="40" l="1"/>
  <c r="CB6" i="41"/>
  <c r="CB27" i="41" s="1"/>
  <c r="V63" i="40"/>
  <c r="CB9" i="41"/>
  <c r="CA30" i="41"/>
  <c r="BR12" i="41"/>
  <c r="BR15" i="41" s="1"/>
  <c r="BR18" i="41" s="1"/>
  <c r="CB29" i="41"/>
  <c r="CB14" i="41"/>
  <c r="CB26" i="41"/>
  <c r="CB17" i="41"/>
  <c r="CB8" i="41"/>
  <c r="CB11" i="41"/>
  <c r="CB5" i="41"/>
  <c r="CC4" i="41"/>
  <c r="CC6" i="41" l="1"/>
  <c r="CC27" i="41" s="1"/>
  <c r="V64" i="40"/>
  <c r="CC9" i="41"/>
  <c r="CB30" i="41"/>
  <c r="CC29" i="41"/>
  <c r="CC26" i="41"/>
  <c r="CC14" i="41"/>
  <c r="CC11" i="41"/>
  <c r="CC17" i="41"/>
  <c r="CC8" i="41"/>
  <c r="CC5" i="41"/>
  <c r="CD4" i="41"/>
  <c r="BS12" i="41"/>
  <c r="BS15" i="41" s="1"/>
  <c r="BS18" i="41" s="1"/>
  <c r="CD6" i="41" l="1"/>
  <c r="CD27" i="41" s="1"/>
  <c r="CD9" i="41"/>
  <c r="CC30" i="41"/>
  <c r="BT12" i="41"/>
  <c r="BT15" i="41" s="1"/>
  <c r="BT18" i="41" s="1"/>
  <c r="CD29" i="41"/>
  <c r="CD26" i="41"/>
  <c r="CD17" i="41"/>
  <c r="CD11" i="41"/>
  <c r="CD8" i="41"/>
  <c r="CE4" i="41"/>
  <c r="CD14" i="41"/>
  <c r="CD5" i="41"/>
  <c r="V65" i="40" l="1"/>
  <c r="CE6" i="41"/>
  <c r="CE27" i="41" s="1"/>
  <c r="V66" i="40"/>
  <c r="CE9" i="41"/>
  <c r="CD30" i="41"/>
  <c r="CE29" i="41"/>
  <c r="CE26" i="41"/>
  <c r="CE8" i="41"/>
  <c r="CE11" i="41"/>
  <c r="CE5" i="41"/>
  <c r="CF4" i="41"/>
  <c r="CE14" i="41"/>
  <c r="CE17" i="41"/>
  <c r="BU12" i="41"/>
  <c r="BU15" i="41" s="1"/>
  <c r="BU18" i="41" s="1"/>
  <c r="CF6" i="41" l="1"/>
  <c r="CF27" i="41" s="1"/>
  <c r="CF9" i="41"/>
  <c r="CE30" i="41"/>
  <c r="BV12" i="41"/>
  <c r="BV15" i="41" s="1"/>
  <c r="BV18" i="41" s="1"/>
  <c r="CF29" i="41"/>
  <c r="CF14" i="41"/>
  <c r="CF8" i="41"/>
  <c r="CF17" i="41"/>
  <c r="CF26" i="41"/>
  <c r="CF11" i="41"/>
  <c r="CF5" i="41"/>
  <c r="CG4" i="41"/>
  <c r="V67" i="40" l="1"/>
  <c r="CG6" i="41"/>
  <c r="CG27" i="41" s="1"/>
  <c r="V68" i="40"/>
  <c r="CG9" i="41"/>
  <c r="CF30" i="41"/>
  <c r="CG29" i="41"/>
  <c r="CG17" i="41"/>
  <c r="CG14" i="41"/>
  <c r="CG11" i="41"/>
  <c r="CG26" i="41"/>
  <c r="CG8" i="41"/>
  <c r="CH4" i="41"/>
  <c r="CG5" i="41"/>
  <c r="BW12" i="41"/>
  <c r="BW15" i="41" s="1"/>
  <c r="BW18" i="41" s="1"/>
  <c r="CH6" i="41" l="1"/>
  <c r="CH27" i="41" s="1"/>
  <c r="CH9" i="41"/>
  <c r="CG30" i="41"/>
  <c r="BX12" i="41"/>
  <c r="BX15" i="41" s="1"/>
  <c r="BX18" i="41" s="1"/>
  <c r="CH26" i="41"/>
  <c r="CH17" i="41"/>
  <c r="CH14" i="41"/>
  <c r="CH11" i="41"/>
  <c r="CH29" i="41"/>
  <c r="CH5" i="41"/>
  <c r="CI4" i="41"/>
  <c r="CH8" i="41"/>
  <c r="V69" i="40" l="1"/>
  <c r="CI6" i="41"/>
  <c r="CI27" i="41" s="1"/>
  <c r="V70" i="40"/>
  <c r="CI9" i="41"/>
  <c r="CH30" i="41"/>
  <c r="CI29" i="41"/>
  <c r="CI26" i="41"/>
  <c r="CI8" i="41"/>
  <c r="CI14" i="41"/>
  <c r="CI5" i="41"/>
  <c r="CJ4" i="41"/>
  <c r="CI17" i="41"/>
  <c r="CI11" i="41"/>
  <c r="BY12" i="41"/>
  <c r="BY15" i="41" s="1"/>
  <c r="BY18" i="41" s="1"/>
  <c r="CJ6" i="41" l="1"/>
  <c r="CJ27" i="41" s="1"/>
  <c r="CJ9" i="41"/>
  <c r="CI30" i="41"/>
  <c r="CJ29" i="41"/>
  <c r="CJ26" i="41"/>
  <c r="CJ14" i="41"/>
  <c r="CJ8" i="41"/>
  <c r="CJ17" i="41"/>
  <c r="CJ11" i="41"/>
  <c r="CJ5" i="41"/>
  <c r="CK4" i="41"/>
  <c r="BZ12" i="41"/>
  <c r="BZ15" i="41" s="1"/>
  <c r="BZ18" i="41" s="1"/>
  <c r="V71" i="40" l="1"/>
  <c r="CK6" i="41"/>
  <c r="CK27" i="41" s="1"/>
  <c r="CK9" i="41"/>
  <c r="CJ30" i="41"/>
  <c r="CA12" i="41"/>
  <c r="CA15" i="41" s="1"/>
  <c r="CA18" i="41" s="1"/>
  <c r="CK29" i="41"/>
  <c r="CK26" i="41"/>
  <c r="CK17" i="41"/>
  <c r="CK11" i="41"/>
  <c r="CK8" i="41"/>
  <c r="CK14" i="41"/>
  <c r="CK5" i="41"/>
  <c r="CL4" i="41"/>
  <c r="V72" i="40" l="1"/>
  <c r="CL6" i="41"/>
  <c r="CL27" i="41" s="1"/>
  <c r="CL9" i="41"/>
  <c r="CK30" i="41"/>
  <c r="CB12" i="41"/>
  <c r="CB15" i="41" s="1"/>
  <c r="CB18" i="41" s="1"/>
  <c r="CL29" i="41"/>
  <c r="CL26" i="41"/>
  <c r="CL17" i="41"/>
  <c r="CL11" i="41"/>
  <c r="CL14" i="41"/>
  <c r="CL8" i="41"/>
  <c r="CM4" i="41"/>
  <c r="CL5" i="41"/>
  <c r="V73" i="40" l="1"/>
  <c r="CM6" i="41"/>
  <c r="CM27" i="41" s="1"/>
  <c r="CM9" i="41"/>
  <c r="CL30" i="41"/>
  <c r="CM29" i="41"/>
  <c r="CM26" i="41"/>
  <c r="CM17" i="41"/>
  <c r="CM14" i="41"/>
  <c r="CM8" i="41"/>
  <c r="CM11" i="41"/>
  <c r="CM5" i="41"/>
  <c r="CN4" i="41"/>
  <c r="CC12" i="41"/>
  <c r="CC15" i="41" s="1"/>
  <c r="CC18" i="41" s="1"/>
  <c r="V74" i="40" l="1"/>
  <c r="CN6" i="41"/>
  <c r="CN27" i="41" s="1"/>
  <c r="CN9" i="41"/>
  <c r="CM30" i="41"/>
  <c r="CD12" i="41"/>
  <c r="CD15" i="41" s="1"/>
  <c r="CD18" i="41" s="1"/>
  <c r="CN29" i="41"/>
  <c r="CN26" i="41"/>
  <c r="CN14" i="41"/>
  <c r="CN8" i="41"/>
  <c r="CN17" i="41"/>
  <c r="CN11" i="41"/>
  <c r="CN5" i="41"/>
  <c r="CO4" i="41"/>
  <c r="V75" i="40" l="1"/>
  <c r="CO6" i="41"/>
  <c r="CO27" i="41" s="1"/>
  <c r="CO9" i="41"/>
  <c r="CN30" i="41"/>
  <c r="CO29" i="41"/>
  <c r="CO26" i="41"/>
  <c r="CO11" i="41"/>
  <c r="CO14" i="41"/>
  <c r="CO17" i="41"/>
  <c r="CO8" i="41"/>
  <c r="CP4" i="41"/>
  <c r="CO5" i="41"/>
  <c r="CE12" i="41"/>
  <c r="CE15" i="41" s="1"/>
  <c r="CE18" i="41" s="1"/>
  <c r="V76" i="40" l="1"/>
  <c r="CP6" i="41"/>
  <c r="CP27" i="41" s="1"/>
  <c r="CP9" i="41"/>
  <c r="CO30" i="41"/>
  <c r="CF12" i="41"/>
  <c r="CF15" i="41" s="1"/>
  <c r="CF18" i="41" s="1"/>
  <c r="CP29" i="41"/>
  <c r="CP26" i="41"/>
  <c r="CP17" i="41"/>
  <c r="CP11" i="41"/>
  <c r="CQ4" i="41"/>
  <c r="CP8" i="41"/>
  <c r="CP14" i="41"/>
  <c r="CP5" i="41"/>
  <c r="V77" i="40" l="1"/>
  <c r="CQ6" i="41"/>
  <c r="CQ27" i="41" s="1"/>
  <c r="V78" i="40"/>
  <c r="CQ9" i="41"/>
  <c r="CP30" i="41"/>
  <c r="CQ29" i="41"/>
  <c r="CQ17" i="41"/>
  <c r="CQ14" i="41"/>
  <c r="CQ8" i="41"/>
  <c r="CQ5" i="41"/>
  <c r="CR4" i="41"/>
  <c r="CQ26" i="41"/>
  <c r="CQ11" i="41"/>
  <c r="CG12" i="41"/>
  <c r="CG15" i="41" s="1"/>
  <c r="CG18" i="41" s="1"/>
  <c r="CR6" i="41" l="1"/>
  <c r="CR27" i="41" s="1"/>
  <c r="V79" i="40"/>
  <c r="CR9" i="41"/>
  <c r="CQ30" i="41"/>
  <c r="CH12" i="41"/>
  <c r="CH15" i="41" s="1"/>
  <c r="CH18" i="41" s="1"/>
  <c r="CR29" i="41"/>
  <c r="CR14" i="41"/>
  <c r="CR17" i="41"/>
  <c r="CR8" i="41"/>
  <c r="CR26" i="41"/>
  <c r="CR11" i="41"/>
  <c r="CR5" i="41"/>
  <c r="CS4" i="41"/>
  <c r="CS6" i="41" l="1"/>
  <c r="CS27" i="41" s="1"/>
  <c r="CS9" i="41"/>
  <c r="CR30" i="41"/>
  <c r="CS29" i="41"/>
  <c r="CS26" i="41"/>
  <c r="CS14" i="41"/>
  <c r="CS11" i="41"/>
  <c r="CS17" i="41"/>
  <c r="CS8" i="41"/>
  <c r="CS5" i="41"/>
  <c r="CT4" i="41"/>
  <c r="CI12" i="41"/>
  <c r="CI15" i="41" s="1"/>
  <c r="CI18" i="41" s="1"/>
  <c r="V80" i="40" l="1"/>
  <c r="CT6" i="41"/>
  <c r="CT27" i="41" s="1"/>
  <c r="V81" i="40"/>
  <c r="CT9" i="41"/>
  <c r="CS30" i="41"/>
  <c r="CJ12" i="41"/>
  <c r="CJ15" i="41" s="1"/>
  <c r="CJ18" i="41" s="1"/>
  <c r="CT29" i="41"/>
  <c r="CT26" i="41"/>
  <c r="CT17" i="41"/>
  <c r="CT11" i="41"/>
  <c r="CT14" i="41"/>
  <c r="CT8" i="41"/>
  <c r="CT5" i="41"/>
  <c r="CU4" i="41"/>
  <c r="CU6" i="41" l="1"/>
  <c r="CU27" i="41" s="1"/>
  <c r="CU9" i="41"/>
  <c r="CT30" i="41"/>
  <c r="CK12" i="41"/>
  <c r="CK15" i="41" s="1"/>
  <c r="CK18" i="41" s="1"/>
  <c r="CU26" i="41"/>
  <c r="CU29" i="41"/>
  <c r="CU8" i="41"/>
  <c r="CU11" i="41"/>
  <c r="CU5" i="41"/>
  <c r="CV4" i="41"/>
  <c r="CU17" i="41"/>
  <c r="CU14" i="41"/>
  <c r="V82" i="40" l="1"/>
  <c r="CV6" i="41"/>
  <c r="CV27" i="41" s="1"/>
  <c r="CV9" i="41"/>
  <c r="CU30" i="41"/>
  <c r="CL12" i="41"/>
  <c r="CL15" i="41" s="1"/>
  <c r="CL18" i="41" s="1"/>
  <c r="CV29" i="41"/>
  <c r="CV14" i="41"/>
  <c r="CV8" i="41"/>
  <c r="CV26" i="41"/>
  <c r="CV17" i="41"/>
  <c r="CV11" i="41"/>
  <c r="CV5" i="41"/>
  <c r="CW4" i="41"/>
  <c r="V83" i="40" l="1"/>
  <c r="CW6" i="41"/>
  <c r="CW27" i="41" s="1"/>
  <c r="CW9" i="41"/>
  <c r="CV30" i="41"/>
  <c r="CW29" i="41"/>
  <c r="CW26" i="41"/>
  <c r="CW17" i="41"/>
  <c r="CW14" i="41"/>
  <c r="CW11" i="41"/>
  <c r="CW8" i="41"/>
  <c r="CW5" i="41"/>
  <c r="CX4" i="41"/>
  <c r="CM12" i="41"/>
  <c r="CM15" i="41" s="1"/>
  <c r="CM18" i="41" s="1"/>
  <c r="V84" i="40" l="1"/>
  <c r="CX6" i="41"/>
  <c r="CX27" i="41" s="1"/>
  <c r="CX9" i="41"/>
  <c r="CW30" i="41"/>
  <c r="CN12" i="41"/>
  <c r="CN15" i="41" s="1"/>
  <c r="CN18" i="41" s="1"/>
  <c r="CX26" i="41"/>
  <c r="CX29" i="41"/>
  <c r="CX17" i="41"/>
  <c r="CX14" i="41"/>
  <c r="CX11" i="41"/>
  <c r="CY4" i="41"/>
  <c r="CX8" i="41"/>
  <c r="CX5" i="41"/>
  <c r="V85" i="40" l="1"/>
  <c r="CY6" i="41"/>
  <c r="CY27" i="41" s="1"/>
  <c r="CY9" i="41"/>
  <c r="CX30" i="41"/>
  <c r="CY29" i="41"/>
  <c r="CY26" i="41"/>
  <c r="CY8" i="41"/>
  <c r="CY17" i="41"/>
  <c r="CY5" i="41"/>
  <c r="CZ4" i="41"/>
  <c r="CY11" i="41"/>
  <c r="CY14" i="41"/>
  <c r="CO12" i="41"/>
  <c r="CO15" i="41" s="1"/>
  <c r="CO18" i="41" s="1"/>
  <c r="V86" i="40" l="1"/>
  <c r="CZ6" i="41"/>
  <c r="CZ27" i="41" s="1"/>
  <c r="V87" i="40"/>
  <c r="CZ9" i="41"/>
  <c r="CY30" i="41"/>
  <c r="CZ29" i="41"/>
  <c r="CZ26" i="41"/>
  <c r="CZ14" i="41"/>
  <c r="CZ8" i="41"/>
  <c r="CZ11" i="41"/>
  <c r="CZ17" i="41"/>
  <c r="CZ5" i="41"/>
  <c r="DA4" i="41"/>
  <c r="CP12" i="41"/>
  <c r="CP15" i="41" s="1"/>
  <c r="CP18" i="41" s="1"/>
  <c r="DA6" i="41" l="1"/>
  <c r="DA27" i="41" s="1"/>
  <c r="V88" i="40"/>
  <c r="DA9" i="41"/>
  <c r="CZ30" i="41"/>
  <c r="CQ12" i="41"/>
  <c r="CQ15" i="41" s="1"/>
  <c r="CQ18" i="41" s="1"/>
  <c r="DA29" i="41"/>
  <c r="DA17" i="41"/>
  <c r="DA11" i="41"/>
  <c r="DA14" i="41"/>
  <c r="DA8" i="41"/>
  <c r="DA26" i="41"/>
  <c r="DA5" i="41"/>
  <c r="DB4" i="41"/>
  <c r="DB6" i="41" l="1"/>
  <c r="DB27" i="41" s="1"/>
  <c r="V89" i="40"/>
  <c r="DB9" i="41"/>
  <c r="DA30" i="41"/>
  <c r="DB29" i="41"/>
  <c r="DB26" i="41"/>
  <c r="DB17" i="41"/>
  <c r="DB11" i="41"/>
  <c r="DB14" i="41"/>
  <c r="DB8" i="41"/>
  <c r="DC4" i="41"/>
  <c r="DB5" i="41"/>
  <c r="CR12" i="41"/>
  <c r="CR15" i="41" s="1"/>
  <c r="CR18" i="41" s="1"/>
  <c r="DC6" i="41" l="1"/>
  <c r="DC27" i="41" s="1"/>
  <c r="V90" i="40"/>
  <c r="DC9" i="41"/>
  <c r="DB30" i="41"/>
  <c r="CS12" i="41"/>
  <c r="CS15" i="41" s="1"/>
  <c r="CS18" i="41" s="1"/>
  <c r="DC29" i="41"/>
  <c r="DC17" i="41"/>
  <c r="DC14" i="41"/>
  <c r="DC8" i="41"/>
  <c r="DC11" i="41"/>
  <c r="DC5" i="41"/>
  <c r="DD4" i="41"/>
  <c r="DC26" i="41"/>
  <c r="DD6" i="41" l="1"/>
  <c r="DD27" i="41" s="1"/>
  <c r="V91" i="40"/>
  <c r="DD9" i="41"/>
  <c r="DC30" i="41"/>
  <c r="DD29" i="41"/>
  <c r="DD26" i="41"/>
  <c r="DD14" i="41"/>
  <c r="DD8" i="41"/>
  <c r="DD17" i="41"/>
  <c r="DD5" i="41"/>
  <c r="DE4" i="41"/>
  <c r="DD11" i="41"/>
  <c r="CT12" i="41"/>
  <c r="CT15" i="41" s="1"/>
  <c r="CT18" i="41" s="1"/>
  <c r="DE6" i="41" l="1"/>
  <c r="DE27" i="41" s="1"/>
  <c r="V92" i="40"/>
  <c r="DE9" i="41"/>
  <c r="DD30" i="41"/>
  <c r="CU12" i="41"/>
  <c r="CU15" i="41" s="1"/>
  <c r="CU18" i="41" s="1"/>
  <c r="DE29" i="41"/>
  <c r="DE26" i="41"/>
  <c r="DE11" i="41"/>
  <c r="DE14" i="41"/>
  <c r="DE17" i="41"/>
  <c r="DE8" i="41"/>
  <c r="DE5" i="41"/>
  <c r="DF4" i="41"/>
  <c r="DF6" i="41" l="1"/>
  <c r="DF27" i="41" s="1"/>
  <c r="V93" i="40"/>
  <c r="DF9" i="41"/>
  <c r="DE30" i="41"/>
  <c r="DF26" i="41"/>
  <c r="DF17" i="41"/>
  <c r="DF11" i="41"/>
  <c r="DG4" i="41"/>
  <c r="DF29" i="41"/>
  <c r="DF5" i="41"/>
  <c r="DF8" i="41"/>
  <c r="DF14" i="41"/>
  <c r="CV12" i="41"/>
  <c r="CV15" i="41" s="1"/>
  <c r="CV18" i="41" s="1"/>
  <c r="DG6" i="41" l="1"/>
  <c r="DG27" i="41" s="1"/>
  <c r="DG9" i="41"/>
  <c r="DF30" i="41"/>
  <c r="CW12" i="41"/>
  <c r="CW15" i="41" s="1"/>
  <c r="CW18" i="41" s="1"/>
  <c r="DG26" i="41"/>
  <c r="DG17" i="41"/>
  <c r="DG14" i="41"/>
  <c r="DG8" i="41"/>
  <c r="DG29" i="41"/>
  <c r="DG5" i="41"/>
  <c r="DH4" i="41"/>
  <c r="DG11" i="41"/>
  <c r="DH6" i="41" l="1"/>
  <c r="DH27" i="41" s="1"/>
  <c r="V94" i="40"/>
  <c r="V95" i="40"/>
  <c r="DH9" i="41"/>
  <c r="DG30" i="41"/>
  <c r="DH29" i="41"/>
  <c r="DH14" i="41"/>
  <c r="DH26" i="41"/>
  <c r="DH17" i="41"/>
  <c r="DH8" i="41"/>
  <c r="DH11" i="41"/>
  <c r="DH5" i="41"/>
  <c r="DI4" i="41"/>
  <c r="CX12" i="41"/>
  <c r="CX15" i="41" s="1"/>
  <c r="CX18" i="41" s="1"/>
  <c r="DI6" i="41" l="1"/>
  <c r="DI27" i="41" s="1"/>
  <c r="DI9" i="41"/>
  <c r="DH30" i="41"/>
  <c r="CY12" i="41"/>
  <c r="CY15" i="41" s="1"/>
  <c r="CY18" i="41" s="1"/>
  <c r="DI29" i="41"/>
  <c r="DI26" i="41"/>
  <c r="DI14" i="41"/>
  <c r="DI11" i="41"/>
  <c r="DI17" i="41"/>
  <c r="DI8" i="41"/>
  <c r="DI5" i="41"/>
  <c r="DJ4" i="41"/>
  <c r="DJ6" i="41" l="1"/>
  <c r="DJ27" i="41" s="1"/>
  <c r="V96" i="40"/>
  <c r="V97" i="40"/>
  <c r="DJ9" i="41"/>
  <c r="DI30" i="41"/>
  <c r="DJ29" i="41"/>
  <c r="DJ26" i="41"/>
  <c r="DJ17" i="41"/>
  <c r="DJ11" i="41"/>
  <c r="DJ8" i="41"/>
  <c r="DJ14" i="41"/>
  <c r="DJ5" i="41"/>
  <c r="DK4" i="41"/>
  <c r="CZ12" i="41"/>
  <c r="CZ15" i="41" s="1"/>
  <c r="CZ18" i="41" s="1"/>
  <c r="DK6" i="41" l="1"/>
  <c r="DK27" i="41" s="1"/>
  <c r="V98" i="40"/>
  <c r="DK9" i="41"/>
  <c r="DJ30" i="41"/>
  <c r="DA12" i="41"/>
  <c r="DA15" i="41" s="1"/>
  <c r="DA18" i="41" s="1"/>
  <c r="DK29" i="41"/>
  <c r="DK26" i="41"/>
  <c r="DK17" i="41"/>
  <c r="DK8" i="41"/>
  <c r="DK11" i="41"/>
  <c r="DK5" i="41"/>
  <c r="DL4" i="41"/>
  <c r="DK14" i="41"/>
  <c r="DL6" i="41" l="1"/>
  <c r="DL27" i="41" s="1"/>
  <c r="DL9" i="41"/>
  <c r="DK30" i="41"/>
  <c r="DB12" i="41"/>
  <c r="DB15" i="41" s="1"/>
  <c r="DB18" i="41" s="1"/>
  <c r="DL29" i="41"/>
  <c r="DL14" i="41"/>
  <c r="DL8" i="41"/>
  <c r="DL26" i="41"/>
  <c r="DL17" i="41"/>
  <c r="DL11" i="41"/>
  <c r="DL5" i="41"/>
  <c r="DM4" i="41"/>
  <c r="DM6" i="41" l="1"/>
  <c r="DM27" i="41" s="1"/>
  <c r="V99" i="40"/>
  <c r="DM9" i="41"/>
  <c r="DL30" i="41"/>
  <c r="DM29" i="41"/>
  <c r="DM17" i="41"/>
  <c r="DM14" i="41"/>
  <c r="DM11" i="41"/>
  <c r="DM26" i="41"/>
  <c r="DM8" i="41"/>
  <c r="DM5" i="41"/>
  <c r="DN4" i="41"/>
  <c r="DC12" i="41"/>
  <c r="DC15" i="41" s="1"/>
  <c r="DC18" i="41" s="1"/>
  <c r="DN6" i="41" l="1"/>
  <c r="DN27" i="41" s="1"/>
  <c r="V100" i="40"/>
  <c r="DN9" i="41"/>
  <c r="DM30" i="41"/>
  <c r="DD12" i="41"/>
  <c r="DD15" i="41" s="1"/>
  <c r="DD18" i="41" s="1"/>
  <c r="DN26" i="41"/>
  <c r="DN29" i="41"/>
  <c r="DN17" i="41"/>
  <c r="DN14" i="41"/>
  <c r="DN11" i="41"/>
  <c r="DO4" i="41"/>
  <c r="DN8" i="41"/>
  <c r="DN5" i="41"/>
  <c r="DO6" i="41" l="1"/>
  <c r="DO27" i="41" s="1"/>
  <c r="V101" i="40"/>
  <c r="DO9" i="41"/>
  <c r="DN30" i="41"/>
  <c r="DO29" i="41"/>
  <c r="DO17" i="41"/>
  <c r="DO26" i="41"/>
  <c r="DO8" i="41"/>
  <c r="DO14" i="41"/>
  <c r="DO5" i="41"/>
  <c r="DP4" i="41"/>
  <c r="DO11" i="41"/>
  <c r="DE12" i="41"/>
  <c r="DE15" i="41" s="1"/>
  <c r="DE18" i="41" s="1"/>
  <c r="DP6" i="41" l="1"/>
  <c r="DP27" i="41" s="1"/>
  <c r="V102" i="40"/>
  <c r="V103" i="40"/>
  <c r="DP9" i="41"/>
  <c r="DO30" i="41"/>
  <c r="DP29" i="41"/>
  <c r="DP26" i="41"/>
  <c r="DP14" i="41"/>
  <c r="DP17" i="41"/>
  <c r="DP8" i="41"/>
  <c r="DP11" i="41"/>
  <c r="DP5" i="41"/>
  <c r="DQ4" i="41"/>
  <c r="DF12" i="41"/>
  <c r="DF15" i="41" s="1"/>
  <c r="DF18" i="41" s="1"/>
  <c r="DQ6" i="41" l="1"/>
  <c r="DQ27" i="41" s="1"/>
  <c r="V104" i="40"/>
  <c r="DQ9" i="41"/>
  <c r="DP30" i="41"/>
  <c r="DG12" i="41"/>
  <c r="DG15" i="41" s="1"/>
  <c r="DG18" i="41" s="1"/>
  <c r="DQ29" i="41"/>
  <c r="DQ26" i="41"/>
  <c r="DQ11" i="41"/>
  <c r="DQ17" i="41"/>
  <c r="DQ8" i="41"/>
  <c r="DQ5" i="41"/>
  <c r="DQ14" i="41"/>
  <c r="DR4" i="41"/>
  <c r="DR6" i="41" l="1"/>
  <c r="DR27" i="41" s="1"/>
  <c r="V105" i="40"/>
  <c r="DR9" i="41"/>
  <c r="DQ30" i="41"/>
  <c r="DH12" i="41"/>
  <c r="DH15" i="41" s="1"/>
  <c r="DH18" i="41" s="1"/>
  <c r="DR29" i="41"/>
  <c r="DR26" i="41"/>
  <c r="DR17" i="41"/>
  <c r="DR11" i="41"/>
  <c r="DR14" i="41"/>
  <c r="DR8" i="41"/>
  <c r="DS4" i="41"/>
  <c r="DR5" i="41"/>
  <c r="DS6" i="41" l="1"/>
  <c r="DS27" i="41" s="1"/>
  <c r="V106" i="40"/>
  <c r="DS9" i="41"/>
  <c r="DR30" i="41"/>
  <c r="DI12" i="41"/>
  <c r="DI15" i="41" s="1"/>
  <c r="DI18" i="41" s="1"/>
  <c r="DS17" i="41"/>
  <c r="DS26" i="41"/>
  <c r="DS14" i="41"/>
  <c r="DS29" i="41"/>
  <c r="DS8" i="41"/>
  <c r="DS11" i="41"/>
  <c r="DS5" i="41"/>
  <c r="DT4" i="41"/>
  <c r="DT6" i="41" l="1"/>
  <c r="DT27" i="41" s="1"/>
  <c r="DT9" i="41"/>
  <c r="DS30" i="41"/>
  <c r="DT29" i="41"/>
  <c r="DT26" i="41"/>
  <c r="DT14" i="41"/>
  <c r="DT8" i="41"/>
  <c r="DT17" i="41"/>
  <c r="DT11" i="41"/>
  <c r="DT5" i="41"/>
  <c r="DU4" i="41"/>
  <c r="DJ12" i="41"/>
  <c r="DJ15" i="41" s="1"/>
  <c r="DJ18" i="41" s="1"/>
  <c r="DU6" i="41" l="1"/>
  <c r="DU27" i="41" s="1"/>
  <c r="V107" i="40"/>
  <c r="DU9" i="41"/>
  <c r="DT30" i="41"/>
  <c r="DU29" i="41"/>
  <c r="DU26" i="41"/>
  <c r="DU17" i="41"/>
  <c r="DU11" i="41"/>
  <c r="DU14" i="41"/>
  <c r="DU8" i="41"/>
  <c r="DV4" i="41"/>
  <c r="DU5" i="41"/>
  <c r="DK12" i="41"/>
  <c r="DK15" i="41" s="1"/>
  <c r="DK18" i="41" s="1"/>
  <c r="DV6" i="41" l="1"/>
  <c r="DV27" i="41" s="1"/>
  <c r="V108" i="40"/>
  <c r="DV9" i="41"/>
  <c r="DU30" i="41"/>
  <c r="DV29" i="41"/>
  <c r="DV26" i="41"/>
  <c r="DV17" i="41"/>
  <c r="DV11" i="41"/>
  <c r="DV8" i="41"/>
  <c r="DV14" i="41"/>
  <c r="DV5" i="41"/>
  <c r="DW4" i="41"/>
  <c r="DL12" i="41"/>
  <c r="DL15" i="41" s="1"/>
  <c r="DL18" i="41" s="1"/>
  <c r="DW6" i="41" l="1"/>
  <c r="DW27" i="41" s="1"/>
  <c r="V109" i="40"/>
  <c r="V110" i="40"/>
  <c r="DW9" i="41"/>
  <c r="DV30" i="41"/>
  <c r="DW17" i="41"/>
  <c r="DW29" i="41"/>
  <c r="DW14" i="41"/>
  <c r="DW8" i="41"/>
  <c r="DW5" i="41"/>
  <c r="DX4" i="41"/>
  <c r="DW11" i="41"/>
  <c r="DW26" i="41"/>
  <c r="DM12" i="41"/>
  <c r="DM15" i="41" s="1"/>
  <c r="DM18" i="41" s="1"/>
  <c r="DX6" i="41" l="1"/>
  <c r="DX27" i="41" s="1"/>
  <c r="V111" i="40"/>
  <c r="DX9" i="41"/>
  <c r="DW30" i="41"/>
  <c r="DX29" i="41"/>
  <c r="DX14" i="41"/>
  <c r="DX17" i="41"/>
  <c r="DX8" i="41"/>
  <c r="DX26" i="41"/>
  <c r="DX11" i="41"/>
  <c r="DX5" i="41"/>
  <c r="DY4" i="41"/>
  <c r="DN12" i="41"/>
  <c r="DN15" i="41" s="1"/>
  <c r="DN18" i="41" s="1"/>
  <c r="DY6" i="41" l="1"/>
  <c r="DY27" i="41" s="1"/>
  <c r="DY9" i="41"/>
  <c r="DX30" i="41"/>
  <c r="DO12" i="41"/>
  <c r="DO15" i="41" s="1"/>
  <c r="DO18" i="41" s="1"/>
  <c r="DY29" i="41"/>
  <c r="DY26" i="41"/>
  <c r="DY14" i="41"/>
  <c r="DY11" i="41"/>
  <c r="DY17" i="41"/>
  <c r="DY8" i="41"/>
  <c r="DY5" i="41"/>
  <c r="DZ4" i="41"/>
  <c r="DZ6" i="41" l="1"/>
  <c r="DZ27" i="41" s="1"/>
  <c r="V112" i="40"/>
  <c r="V113" i="40"/>
  <c r="DZ9" i="41"/>
  <c r="DY30" i="41"/>
  <c r="DZ29" i="41"/>
  <c r="DZ26" i="41"/>
  <c r="DZ17" i="41"/>
  <c r="DZ11" i="41"/>
  <c r="DZ14" i="41"/>
  <c r="DZ8" i="41"/>
  <c r="EA4" i="41"/>
  <c r="DZ5" i="41"/>
  <c r="DP12" i="41"/>
  <c r="DP15" i="41" s="1"/>
  <c r="DP18" i="41" s="1"/>
  <c r="EA6" i="41" l="1"/>
  <c r="EA27" i="41" s="1"/>
  <c r="V114" i="40"/>
  <c r="EA9" i="41"/>
  <c r="DZ30" i="41"/>
  <c r="DQ12" i="41"/>
  <c r="DQ15" i="41" s="1"/>
  <c r="DQ18" i="41" s="1"/>
  <c r="EA26" i="41"/>
  <c r="EA17" i="41"/>
  <c r="EA29" i="41"/>
  <c r="EA8" i="41"/>
  <c r="EA11" i="41"/>
  <c r="EA5" i="41"/>
  <c r="EB4" i="41"/>
  <c r="EA14" i="41"/>
  <c r="EB6" i="41" l="1"/>
  <c r="EB27" i="41" s="1"/>
  <c r="EB9" i="41"/>
  <c r="EA30" i="41"/>
  <c r="EB29" i="41"/>
  <c r="EB14" i="41"/>
  <c r="EB8" i="41"/>
  <c r="EB26" i="41"/>
  <c r="EB17" i="41"/>
  <c r="EB11" i="41"/>
  <c r="EB5" i="41"/>
  <c r="EC4" i="41"/>
  <c r="DR12" i="41"/>
  <c r="DR15" i="41" s="1"/>
  <c r="DR18" i="41" s="1"/>
  <c r="EC6" i="41" l="1"/>
  <c r="EC27" i="41" s="1"/>
  <c r="V115" i="40"/>
  <c r="EC9" i="41"/>
  <c r="EB30" i="41"/>
  <c r="DS12" i="41"/>
  <c r="DS15" i="41" s="1"/>
  <c r="DS18" i="41" s="1"/>
  <c r="EC29" i="41"/>
  <c r="EC26" i="41"/>
  <c r="EC17" i="41"/>
  <c r="EC14" i="41"/>
  <c r="EC11" i="41"/>
  <c r="EC8" i="41"/>
  <c r="ED4" i="41"/>
  <c r="EC5" i="41"/>
  <c r="ED6" i="41" l="1"/>
  <c r="ED27" i="41" s="1"/>
  <c r="V116" i="40"/>
  <c r="V117" i="40"/>
  <c r="ED9" i="41"/>
  <c r="EC30" i="41"/>
  <c r="DT12" i="41"/>
  <c r="DT15" i="41" s="1"/>
  <c r="DT18" i="41" s="1"/>
  <c r="ED26" i="41"/>
  <c r="ED29" i="41"/>
  <c r="ED17" i="41"/>
  <c r="ED14" i="41"/>
  <c r="ED11" i="41"/>
  <c r="EE4" i="41"/>
  <c r="ED5" i="41"/>
  <c r="ED8" i="41"/>
  <c r="EE6" i="41" l="1"/>
  <c r="EE27" i="41" s="1"/>
  <c r="V118" i="40"/>
  <c r="EE9" i="41"/>
  <c r="ED30" i="41"/>
  <c r="EE29" i="41"/>
  <c r="EE17" i="41"/>
  <c r="EE26" i="41"/>
  <c r="EE8" i="41"/>
  <c r="EE5" i="41"/>
  <c r="EF4" i="41"/>
  <c r="EE11" i="41"/>
  <c r="EE14" i="41"/>
  <c r="DU12" i="41"/>
  <c r="DU15" i="41" s="1"/>
  <c r="DU18" i="41" s="1"/>
  <c r="EF6" i="41" l="1"/>
  <c r="EF27" i="41" s="1"/>
  <c r="V119" i="40"/>
  <c r="EF9" i="41"/>
  <c r="EE30" i="41"/>
  <c r="DV12" i="41"/>
  <c r="DV15" i="41" s="1"/>
  <c r="DV18" i="41" s="1"/>
  <c r="EF29" i="41"/>
  <c r="EF26" i="41"/>
  <c r="EF14" i="41"/>
  <c r="EF17" i="41"/>
  <c r="EF8" i="41"/>
  <c r="EF11" i="41"/>
  <c r="EF5" i="41"/>
  <c r="EG4" i="41"/>
  <c r="EG6" i="41" l="1"/>
  <c r="EG27" i="41" s="1"/>
  <c r="EG9" i="41"/>
  <c r="EF30" i="41"/>
  <c r="EG29" i="41"/>
  <c r="EG11" i="41"/>
  <c r="EG26" i="41"/>
  <c r="EG14" i="41"/>
  <c r="EG8" i="41"/>
  <c r="EG17" i="41"/>
  <c r="EG5" i="41"/>
  <c r="EH4" i="41"/>
  <c r="DW12" i="41"/>
  <c r="DW15" i="41" s="1"/>
  <c r="DW18" i="41" s="1"/>
  <c r="EH6" i="41" l="1"/>
  <c r="EH27" i="41" s="1"/>
  <c r="V120" i="40"/>
  <c r="EH9" i="41"/>
  <c r="EG30" i="41"/>
  <c r="DX12" i="41"/>
  <c r="DX15" i="41" s="1"/>
  <c r="DX18" i="41" s="1"/>
  <c r="EH29" i="41"/>
  <c r="EH26" i="41"/>
  <c r="EH17" i="41"/>
  <c r="EH11" i="41"/>
  <c r="EH14" i="41"/>
  <c r="EH8" i="41"/>
  <c r="EH5" i="41"/>
  <c r="EI4" i="41"/>
  <c r="EI6" i="41" l="1"/>
  <c r="EI27" i="41" s="1"/>
  <c r="V121" i="40"/>
  <c r="V122" i="40"/>
  <c r="EI9" i="41"/>
  <c r="EH30" i="41"/>
  <c r="EI17" i="41"/>
  <c r="EI14" i="41"/>
  <c r="EI8" i="41"/>
  <c r="EI26" i="41"/>
  <c r="EI11" i="41"/>
  <c r="EI5" i="41"/>
  <c r="EJ4" i="41"/>
  <c r="EI29" i="41"/>
  <c r="DY12" i="41"/>
  <c r="DY15" i="41" s="1"/>
  <c r="DY18" i="41" s="1"/>
  <c r="EJ6" i="41" l="1"/>
  <c r="EJ27" i="41" s="1"/>
  <c r="EJ9" i="41"/>
  <c r="EI30" i="41"/>
  <c r="EJ29" i="41"/>
  <c r="EJ26" i="41"/>
  <c r="EJ14" i="41"/>
  <c r="EJ8" i="41"/>
  <c r="EJ17" i="41"/>
  <c r="EJ5" i="41"/>
  <c r="EK4" i="41"/>
  <c r="EJ11" i="41"/>
  <c r="DZ12" i="41"/>
  <c r="DZ15" i="41" s="1"/>
  <c r="DZ18" i="41" s="1"/>
  <c r="EK6" i="41" l="1"/>
  <c r="EK27" i="41" s="1"/>
  <c r="V123" i="40"/>
  <c r="V124" i="40"/>
  <c r="EK9" i="41"/>
  <c r="EJ30" i="41"/>
  <c r="EA12" i="41"/>
  <c r="EA15" i="41" s="1"/>
  <c r="EA18" i="41" s="1"/>
  <c r="EK29" i="41"/>
  <c r="EK26" i="41"/>
  <c r="EK17" i="41"/>
  <c r="EK11" i="41"/>
  <c r="EK14" i="41"/>
  <c r="EK8" i="41"/>
  <c r="EK5" i="41"/>
  <c r="EL4" i="41"/>
  <c r="EL6" i="41" l="1"/>
  <c r="EL27" i="41" s="1"/>
  <c r="EL9" i="41"/>
  <c r="EK30" i="41"/>
  <c r="EL26" i="41"/>
  <c r="EL17" i="41"/>
  <c r="EL11" i="41"/>
  <c r="EL29" i="41"/>
  <c r="EL8" i="41"/>
  <c r="EL5" i="41"/>
  <c r="EM4" i="41"/>
  <c r="EL14" i="41"/>
  <c r="EB12" i="41"/>
  <c r="EB15" i="41" s="1"/>
  <c r="EB18" i="41" s="1"/>
  <c r="EM6" i="41" l="1"/>
  <c r="EM27" i="41" s="1"/>
  <c r="V125" i="40"/>
  <c r="V126" i="40"/>
  <c r="EM9" i="41"/>
  <c r="EL30" i="41"/>
  <c r="EC12" i="41"/>
  <c r="EC15" i="41" s="1"/>
  <c r="EC18" i="41" s="1"/>
  <c r="EM17" i="41"/>
  <c r="EM29" i="41"/>
  <c r="EM26" i="41"/>
  <c r="EM14" i="41"/>
  <c r="EM8" i="41"/>
  <c r="EM5" i="41"/>
  <c r="EN4" i="41"/>
  <c r="EM11" i="41"/>
  <c r="EN6" i="41" l="1"/>
  <c r="EN27" i="41" s="1"/>
  <c r="EN9" i="41"/>
  <c r="EM30" i="41"/>
  <c r="EN29" i="41"/>
  <c r="EN14" i="41"/>
  <c r="EN26" i="41"/>
  <c r="EN17" i="41"/>
  <c r="EN8" i="41"/>
  <c r="EN11" i="41"/>
  <c r="EN5" i="41"/>
  <c r="EO4" i="41"/>
  <c r="ED12" i="41"/>
  <c r="ED15" i="41" s="1"/>
  <c r="ED18" i="41" s="1"/>
  <c r="EO6" i="41" l="1"/>
  <c r="EO27" i="41" s="1"/>
  <c r="V127" i="40"/>
  <c r="V128" i="40"/>
  <c r="EO9" i="41"/>
  <c r="EN30" i="41"/>
  <c r="EE12" i="41"/>
  <c r="EE15" i="41" s="1"/>
  <c r="EE18" i="41" s="1"/>
  <c r="EO29" i="41"/>
  <c r="EO26" i="41"/>
  <c r="EO14" i="41"/>
  <c r="EO11" i="41"/>
  <c r="EO17" i="41"/>
  <c r="EO8" i="41"/>
  <c r="EO5" i="41"/>
  <c r="EP4" i="41"/>
  <c r="EP6" i="41" s="1"/>
  <c r="EP27" i="41" s="1"/>
  <c r="EP9" i="41" l="1"/>
  <c r="EO30" i="41"/>
  <c r="EF12" i="41"/>
  <c r="EF15" i="41" s="1"/>
  <c r="EF18" i="41" s="1"/>
  <c r="EP29" i="41"/>
  <c r="EP26" i="41"/>
  <c r="EP17" i="41"/>
  <c r="EP11" i="41"/>
  <c r="EP8" i="41"/>
  <c r="EQ4" i="41"/>
  <c r="EQ6" i="41" s="1"/>
  <c r="EQ27" i="41" s="1"/>
  <c r="EP14" i="41"/>
  <c r="EP5" i="41"/>
  <c r="V129" i="40" l="1"/>
  <c r="EQ9" i="41"/>
  <c r="EP30" i="41"/>
  <c r="EQ29" i="41"/>
  <c r="EQ26" i="41"/>
  <c r="EQ17" i="41"/>
  <c r="EQ8" i="41"/>
  <c r="EQ11" i="41"/>
  <c r="EQ5" i="41"/>
  <c r="ER4" i="41"/>
  <c r="ER6" i="41" s="1"/>
  <c r="ER27" i="41" s="1"/>
  <c r="EQ14" i="41"/>
  <c r="EG12" i="41"/>
  <c r="EG15" i="41" s="1"/>
  <c r="EG18" i="41" s="1"/>
  <c r="V130" i="40" l="1"/>
  <c r="ER9" i="41"/>
  <c r="EQ30" i="41"/>
  <c r="ER29" i="41"/>
  <c r="ER14" i="41"/>
  <c r="ER8" i="41"/>
  <c r="ER26" i="41"/>
  <c r="ER17" i="41"/>
  <c r="ER11" i="41"/>
  <c r="ER5" i="41"/>
  <c r="ES4" i="41"/>
  <c r="ES6" i="41" s="1"/>
  <c r="ES27" i="41" s="1"/>
  <c r="EH12" i="41"/>
  <c r="EH15" i="41" s="1"/>
  <c r="EH18" i="41" s="1"/>
  <c r="V131" i="40" l="1"/>
  <c r="ES9" i="41"/>
  <c r="ER30" i="41"/>
  <c r="EI12" i="41"/>
  <c r="EI15" i="41" s="1"/>
  <c r="EI18" i="41" s="1"/>
  <c r="ES29" i="41"/>
  <c r="ES17" i="41"/>
  <c r="ES14" i="41"/>
  <c r="ES11" i="41"/>
  <c r="ES26" i="41"/>
  <c r="ES8" i="41"/>
  <c r="ES5" i="41"/>
  <c r="ET4" i="41"/>
  <c r="ET6" i="41" s="1"/>
  <c r="ET27" i="41" s="1"/>
  <c r="V132" i="40" l="1"/>
  <c r="ET9" i="41"/>
  <c r="ES30" i="41"/>
  <c r="ET26" i="41"/>
  <c r="ET29" i="41"/>
  <c r="ET17" i="41"/>
  <c r="ET14" i="41"/>
  <c r="ET11" i="41"/>
  <c r="ET8" i="41"/>
  <c r="ET5" i="41"/>
  <c r="EU4" i="41"/>
  <c r="EU6" i="41" s="1"/>
  <c r="EU27" i="41" s="1"/>
  <c r="EJ12" i="41"/>
  <c r="EJ15" i="41" s="1"/>
  <c r="EJ18" i="41" s="1"/>
  <c r="V133" i="40" l="1"/>
  <c r="EU9" i="41"/>
  <c r="ET30" i="41"/>
  <c r="EK12" i="41"/>
  <c r="EK15" i="41" s="1"/>
  <c r="EK18" i="41" s="1"/>
  <c r="EU17" i="41"/>
  <c r="EU26" i="41"/>
  <c r="EU29" i="41"/>
  <c r="EU8" i="41"/>
  <c r="EU14" i="41"/>
  <c r="EU5" i="41"/>
  <c r="EV4" i="41"/>
  <c r="EV6" i="41" s="1"/>
  <c r="EV27" i="41" s="1"/>
  <c r="EU11" i="41"/>
  <c r="V134" i="40" l="1"/>
  <c r="EV9" i="41"/>
  <c r="EU30" i="41"/>
  <c r="EL12" i="41"/>
  <c r="EL15" i="41" s="1"/>
  <c r="EL18" i="41" s="1"/>
  <c r="EV29" i="41"/>
  <c r="EV26" i="41"/>
  <c r="EV14" i="41"/>
  <c r="EV17" i="41"/>
  <c r="EV8" i="41"/>
  <c r="EV11" i="41"/>
  <c r="EV5" i="41"/>
  <c r="EW4" i="41"/>
  <c r="EW6" i="41" s="1"/>
  <c r="EW27" i="41" s="1"/>
  <c r="V135" i="40" l="1"/>
  <c r="V136" i="40"/>
  <c r="EW9" i="41"/>
  <c r="EV30" i="41"/>
  <c r="EM12" i="41"/>
  <c r="EM15" i="41" s="1"/>
  <c r="EM18" i="41" s="1"/>
  <c r="EW29" i="41"/>
  <c r="EW26" i="41"/>
  <c r="EW11" i="41"/>
  <c r="EW17" i="41"/>
  <c r="EW8" i="41"/>
  <c r="EW5" i="41"/>
  <c r="EX4" i="41"/>
  <c r="EX6" i="41" s="1"/>
  <c r="EX27" i="41" s="1"/>
  <c r="EW14" i="41"/>
  <c r="EX9" i="41" l="1"/>
  <c r="EW30" i="41"/>
  <c r="EX29" i="41"/>
  <c r="EX26" i="41"/>
  <c r="EX17" i="41"/>
  <c r="EX11" i="41"/>
  <c r="EX14" i="41"/>
  <c r="EX8" i="41"/>
  <c r="EX5" i="41"/>
  <c r="EY4" i="41"/>
  <c r="EY6" i="41" s="1"/>
  <c r="EY27" i="41" s="1"/>
  <c r="EN12" i="41"/>
  <c r="EN15" i="41" s="1"/>
  <c r="EN18" i="41" s="1"/>
  <c r="V137" i="40" l="1"/>
  <c r="EY9" i="41"/>
  <c r="EX30" i="41"/>
  <c r="EO12" i="41"/>
  <c r="EO15" i="41" s="1"/>
  <c r="EO18" i="41" s="1"/>
  <c r="EY17" i="41"/>
  <c r="EY29" i="41"/>
  <c r="EY26" i="41"/>
  <c r="EY14" i="41"/>
  <c r="EY8" i="41"/>
  <c r="EY11" i="41"/>
  <c r="EY5" i="41"/>
  <c r="EZ4" i="41"/>
  <c r="EZ6" i="41" s="1"/>
  <c r="EZ27" i="41" s="1"/>
  <c r="V138" i="40" l="1"/>
  <c r="EZ9" i="41"/>
  <c r="EY30" i="41"/>
  <c r="EZ29" i="41"/>
  <c r="EZ26" i="41"/>
  <c r="EZ14" i="41"/>
  <c r="EZ8" i="41"/>
  <c r="EZ17" i="41"/>
  <c r="EZ11" i="41"/>
  <c r="EZ5" i="41"/>
  <c r="FA4" i="41"/>
  <c r="FA6" i="41" s="1"/>
  <c r="FA27" i="41" s="1"/>
  <c r="EP12" i="41"/>
  <c r="EP15" i="41" s="1"/>
  <c r="EP18" i="41" s="1"/>
  <c r="V139" i="40" l="1"/>
  <c r="V140" i="40"/>
  <c r="FA9" i="41"/>
  <c r="EZ30" i="41"/>
  <c r="FA29" i="41"/>
  <c r="FA26" i="41"/>
  <c r="FA17" i="41"/>
  <c r="FA11" i="41"/>
  <c r="FA14" i="41"/>
  <c r="FA8" i="41"/>
  <c r="FB4" i="41"/>
  <c r="FB6" i="41" s="1"/>
  <c r="FB27" i="41" s="1"/>
  <c r="FA5" i="41"/>
  <c r="EQ12" i="41"/>
  <c r="EQ15" i="41" s="1"/>
  <c r="EQ18" i="41" s="1"/>
  <c r="V141" i="40" l="1"/>
  <c r="FB9" i="41"/>
  <c r="FA30" i="41"/>
  <c r="FB29" i="41"/>
  <c r="FB26" i="41"/>
  <c r="FB17" i="41"/>
  <c r="FB11" i="41"/>
  <c r="FB14" i="41"/>
  <c r="FB5" i="41"/>
  <c r="FC4" i="41"/>
  <c r="FC6" i="41" s="1"/>
  <c r="FC27" i="41" s="1"/>
  <c r="FB8" i="41"/>
  <c r="ER12" i="41"/>
  <c r="ER15" i="41" s="1"/>
  <c r="ER18" i="41" s="1"/>
  <c r="V142" i="40" l="1"/>
  <c r="FC9" i="41"/>
  <c r="FB30" i="41"/>
  <c r="ES12" i="41"/>
  <c r="ES15" i="41" s="1"/>
  <c r="ES18" i="41" s="1"/>
  <c r="FC17" i="41"/>
  <c r="FC29" i="41"/>
  <c r="FC14" i="41"/>
  <c r="FC8" i="41"/>
  <c r="FC5" i="41"/>
  <c r="FD4" i="41"/>
  <c r="FD6" i="41" s="1"/>
  <c r="FD27" i="41" s="1"/>
  <c r="FC11" i="41"/>
  <c r="FC26" i="41"/>
  <c r="FD9" i="41" l="1"/>
  <c r="FC30" i="41"/>
  <c r="ET12" i="41"/>
  <c r="ET15" i="41" s="1"/>
  <c r="ET18" i="41" s="1"/>
  <c r="FD29" i="41"/>
  <c r="FD14" i="41"/>
  <c r="FD17" i="41"/>
  <c r="FD8" i="41"/>
  <c r="FD26" i="41"/>
  <c r="FD11" i="41"/>
  <c r="FD5" i="41"/>
  <c r="FE4" i="41"/>
  <c r="FE6" i="41" s="1"/>
  <c r="FE27" i="41" s="1"/>
  <c r="V143" i="40" l="1"/>
  <c r="FE9" i="41"/>
  <c r="FD30" i="41"/>
  <c r="FE29" i="41"/>
  <c r="FE26" i="41"/>
  <c r="FE14" i="41"/>
  <c r="FE11" i="41"/>
  <c r="FE17" i="41"/>
  <c r="FE8" i="41"/>
  <c r="FE5" i="41"/>
  <c r="FF4" i="41"/>
  <c r="FF6" i="41" s="1"/>
  <c r="FF27" i="41" s="1"/>
  <c r="EU12" i="41"/>
  <c r="EU15" i="41" s="1"/>
  <c r="EU18" i="41" s="1"/>
  <c r="V144" i="40" l="1"/>
  <c r="FF9" i="41"/>
  <c r="FE30" i="41"/>
  <c r="EV12" i="41"/>
  <c r="EV15" i="41" s="1"/>
  <c r="EV18" i="41" s="1"/>
  <c r="FF29" i="41"/>
  <c r="FF26" i="41"/>
  <c r="FF17" i="41"/>
  <c r="FF11" i="41"/>
  <c r="FF14" i="41"/>
  <c r="FF8" i="41"/>
  <c r="FF5" i="41"/>
  <c r="FG4" i="41"/>
  <c r="FG6" i="41" s="1"/>
  <c r="FG27" i="41" s="1"/>
  <c r="V145" i="40" l="1"/>
  <c r="FG9" i="41"/>
  <c r="FF30" i="41"/>
  <c r="FG29" i="41"/>
  <c r="FG26" i="41"/>
  <c r="FG17" i="41"/>
  <c r="FG8" i="41"/>
  <c r="FG11" i="41"/>
  <c r="FG5" i="41"/>
  <c r="FH4" i="41"/>
  <c r="FH6" i="41" s="1"/>
  <c r="FH27" i="41" s="1"/>
  <c r="FG14" i="41"/>
  <c r="EW12" i="41"/>
  <c r="EW15" i="41" s="1"/>
  <c r="EW18" i="41" s="1"/>
  <c r="V146" i="40" l="1"/>
  <c r="FH9" i="41"/>
  <c r="FG30" i="41"/>
  <c r="FH29" i="41"/>
  <c r="FH14" i="41"/>
  <c r="FH8" i="41"/>
  <c r="FH26" i="41"/>
  <c r="FH17" i="41"/>
  <c r="FH11" i="41"/>
  <c r="FH5" i="41"/>
  <c r="FI4" i="41"/>
  <c r="FI6" i="41" s="1"/>
  <c r="FI27" i="41" s="1"/>
  <c r="EX12" i="41"/>
  <c r="EX15" i="41" s="1"/>
  <c r="EX18" i="41" s="1"/>
  <c r="V147" i="40" l="1"/>
  <c r="FI9" i="41"/>
  <c r="FH30" i="41"/>
  <c r="EY12" i="41"/>
  <c r="EY15" i="41" s="1"/>
  <c r="EY18" i="41" s="1"/>
  <c r="FI29" i="41"/>
  <c r="FI26" i="41"/>
  <c r="FI17" i="41"/>
  <c r="FI14" i="41"/>
  <c r="FI11" i="41"/>
  <c r="FI8" i="41"/>
  <c r="FI5" i="41"/>
  <c r="FJ4" i="41"/>
  <c r="FJ6" i="41" s="1"/>
  <c r="FJ27" i="41" s="1"/>
  <c r="V148" i="40" l="1"/>
  <c r="FJ9" i="41"/>
  <c r="FI30" i="41"/>
  <c r="EZ12" i="41"/>
  <c r="EZ15" i="41" s="1"/>
  <c r="EZ18" i="41" s="1"/>
  <c r="FJ26" i="41"/>
  <c r="FJ17" i="41"/>
  <c r="FJ14" i="41"/>
  <c r="FJ11" i="41"/>
  <c r="FJ8" i="41"/>
  <c r="FJ29" i="41"/>
  <c r="FJ5" i="41"/>
  <c r="FK4" i="41"/>
  <c r="FK6" i="41" s="1"/>
  <c r="FK27" i="41" s="1"/>
  <c r="V149" i="40" l="1"/>
  <c r="V150" i="40"/>
  <c r="FK9" i="41"/>
  <c r="FJ30" i="41"/>
  <c r="FK29" i="41"/>
  <c r="FK17" i="41"/>
  <c r="FK26" i="41"/>
  <c r="FK8" i="41"/>
  <c r="FK5" i="41"/>
  <c r="FL4" i="41"/>
  <c r="FL6" i="41" s="1"/>
  <c r="FL27" i="41" s="1"/>
  <c r="FK14" i="41"/>
  <c r="FK11" i="41"/>
  <c r="FA12" i="41"/>
  <c r="FA15" i="41" s="1"/>
  <c r="FA18" i="41" s="1"/>
  <c r="FL9" i="41" l="1"/>
  <c r="FK30" i="41"/>
  <c r="FL29" i="41"/>
  <c r="FL26" i="41"/>
  <c r="FL14" i="41"/>
  <c r="FL17" i="41"/>
  <c r="FL8" i="41"/>
  <c r="FL11" i="41"/>
  <c r="FL5" i="41"/>
  <c r="FM4" i="41"/>
  <c r="FM6" i="41" s="1"/>
  <c r="FM27" i="41" s="1"/>
  <c r="FB12" i="41"/>
  <c r="FB15" i="41" s="1"/>
  <c r="FB18" i="41" s="1"/>
  <c r="V151" i="40" l="1"/>
  <c r="FM9" i="41"/>
  <c r="FL30" i="41"/>
  <c r="FC12" i="41"/>
  <c r="FC15" i="41" s="1"/>
  <c r="FC18" i="41" s="1"/>
  <c r="FM29" i="41"/>
  <c r="FM11" i="41"/>
  <c r="FM14" i="41"/>
  <c r="FM8" i="41"/>
  <c r="FM17" i="41"/>
  <c r="FM26" i="41"/>
  <c r="FM5" i="41"/>
  <c r="FN4" i="41"/>
  <c r="FN6" i="41" s="1"/>
  <c r="FN27" i="41" s="1"/>
  <c r="V152" i="40" l="1"/>
  <c r="FN9" i="41"/>
  <c r="FM30" i="41"/>
  <c r="FD12" i="41"/>
  <c r="FD15" i="41" s="1"/>
  <c r="FD18" i="41" s="1"/>
  <c r="FN29" i="41"/>
  <c r="FN26" i="41"/>
  <c r="FN17" i="41"/>
  <c r="FN11" i="41"/>
  <c r="FN14" i="41"/>
  <c r="FN8" i="41"/>
  <c r="FN5" i="41"/>
  <c r="FO4" i="41"/>
  <c r="FO6" i="41" s="1"/>
  <c r="FO27" i="41" s="1"/>
  <c r="V153" i="40" l="1"/>
  <c r="V154" i="40"/>
  <c r="FO9" i="41"/>
  <c r="FN30" i="41"/>
  <c r="FO17" i="41"/>
  <c r="FO14" i="41"/>
  <c r="FO8" i="41"/>
  <c r="FO29" i="41"/>
  <c r="FO11" i="41"/>
  <c r="FO5" i="41"/>
  <c r="FP4" i="41"/>
  <c r="FP6" i="41" s="1"/>
  <c r="FP27" i="41" s="1"/>
  <c r="FO26" i="41"/>
  <c r="FE12" i="41"/>
  <c r="FE15" i="41" s="1"/>
  <c r="FE18" i="41" s="1"/>
  <c r="V155" i="40" l="1"/>
  <c r="FP9" i="41"/>
  <c r="FO30" i="41"/>
  <c r="FP29" i="41"/>
  <c r="FP26" i="41"/>
  <c r="FP14" i="41"/>
  <c r="FP8" i="41"/>
  <c r="FP17" i="41"/>
  <c r="FP5" i="41"/>
  <c r="FQ4" i="41"/>
  <c r="FQ6" i="41" s="1"/>
  <c r="FQ27" i="41" s="1"/>
  <c r="FP11" i="41"/>
  <c r="FF12" i="41"/>
  <c r="FF15" i="41" s="1"/>
  <c r="FF18" i="41" s="1"/>
  <c r="V156" i="40" l="1"/>
  <c r="FQ9" i="41"/>
  <c r="FP30" i="41"/>
  <c r="FG12" i="41"/>
  <c r="FG15" i="41" s="1"/>
  <c r="FG18" i="41" s="1"/>
  <c r="FQ29" i="41"/>
  <c r="FQ26" i="41"/>
  <c r="FQ17" i="41"/>
  <c r="FQ11" i="41"/>
  <c r="FQ14" i="41"/>
  <c r="FQ8" i="41"/>
  <c r="FQ5" i="41"/>
  <c r="FR4" i="41"/>
  <c r="FR6" i="41" s="1"/>
  <c r="FR27" i="41" s="1"/>
  <c r="V157" i="40" l="1"/>
  <c r="FR9" i="41"/>
  <c r="FQ30" i="41"/>
  <c r="FH12" i="41"/>
  <c r="FH15" i="41" s="1"/>
  <c r="FH18" i="41" s="1"/>
  <c r="FR26" i="41"/>
  <c r="FR29" i="41"/>
  <c r="FR17" i="41"/>
  <c r="FR11" i="41"/>
  <c r="FR8" i="41"/>
  <c r="FR5" i="41"/>
  <c r="FS4" i="41"/>
  <c r="FS6" i="41" s="1"/>
  <c r="FS27" i="41" s="1"/>
  <c r="FR14" i="41"/>
  <c r="V158" i="40" l="1"/>
  <c r="FS9" i="41"/>
  <c r="FR30" i="41"/>
  <c r="FS29" i="41"/>
  <c r="FS17" i="41"/>
  <c r="FS26" i="41"/>
  <c r="FS14" i="41"/>
  <c r="FS8" i="41"/>
  <c r="FS5" i="41"/>
  <c r="FT4" i="41"/>
  <c r="FT6" i="41" s="1"/>
  <c r="FT27" i="41" s="1"/>
  <c r="FS11" i="41"/>
  <c r="FI12" i="41"/>
  <c r="FI15" i="41" s="1"/>
  <c r="FI18" i="41" s="1"/>
  <c r="FT9" i="41" l="1"/>
  <c r="FS30" i="41"/>
  <c r="FT29" i="41"/>
  <c r="FT14" i="41"/>
  <c r="FT26" i="41"/>
  <c r="FT17" i="41"/>
  <c r="FT8" i="41"/>
  <c r="FT11" i="41"/>
  <c r="FT5" i="41"/>
  <c r="FU4" i="41"/>
  <c r="FU6" i="41" s="1"/>
  <c r="FU27" i="41" s="1"/>
  <c r="FJ12" i="41"/>
  <c r="FJ15" i="41" s="1"/>
  <c r="FJ18" i="41" s="1"/>
  <c r="V159" i="40" l="1"/>
  <c r="FU9" i="41"/>
  <c r="FT30" i="41"/>
  <c r="FK12" i="41"/>
  <c r="FK15" i="41" s="1"/>
  <c r="FK18" i="41" s="1"/>
  <c r="FU29" i="41"/>
  <c r="FU26" i="41"/>
  <c r="FU14" i="41"/>
  <c r="FU11" i="41"/>
  <c r="FU17" i="41"/>
  <c r="FU8" i="41"/>
  <c r="FU5" i="41"/>
  <c r="FV4" i="41"/>
  <c r="FV6" i="41" s="1"/>
  <c r="FV27" i="41" s="1"/>
  <c r="V160" i="40" l="1"/>
  <c r="FV9" i="41"/>
  <c r="FU30" i="41"/>
  <c r="FL12" i="41"/>
  <c r="FL15" i="41" s="1"/>
  <c r="FL18" i="41" s="1"/>
  <c r="FV29" i="41"/>
  <c r="FV26" i="41"/>
  <c r="FV17" i="41"/>
  <c r="FV11" i="41"/>
  <c r="FV8" i="41"/>
  <c r="FV14" i="41"/>
  <c r="FV5" i="41"/>
  <c r="FW4" i="41"/>
  <c r="FW6" i="41" s="1"/>
  <c r="FW27" i="41" s="1"/>
  <c r="V161" i="40" l="1"/>
  <c r="FW9" i="41"/>
  <c r="FV30" i="41"/>
  <c r="FW29" i="41"/>
  <c r="FW26" i="41"/>
  <c r="FW17" i="41"/>
  <c r="FW8" i="41"/>
  <c r="FW11" i="41"/>
  <c r="FW5" i="41"/>
  <c r="FX4" i="41"/>
  <c r="FX6" i="41" s="1"/>
  <c r="FX27" i="41" s="1"/>
  <c r="FW14" i="41"/>
  <c r="FM12" i="41"/>
  <c r="FM15" i="41" s="1"/>
  <c r="FM18" i="41" s="1"/>
  <c r="V162" i="40" l="1"/>
  <c r="FX9" i="41"/>
  <c r="FW30" i="41"/>
  <c r="FX29" i="41"/>
  <c r="FX14" i="41"/>
  <c r="FX8" i="41"/>
  <c r="FX26" i="41"/>
  <c r="FX17" i="41"/>
  <c r="FX11" i="41"/>
  <c r="FX5" i="41"/>
  <c r="FY4" i="41"/>
  <c r="FY6" i="41" s="1"/>
  <c r="FY27" i="41" s="1"/>
  <c r="FN12" i="41"/>
  <c r="FN15" i="41" s="1"/>
  <c r="FN18" i="41" s="1"/>
  <c r="V163" i="40" l="1"/>
  <c r="V164" i="40"/>
  <c r="FY9" i="41"/>
  <c r="FX30" i="41"/>
  <c r="FY29" i="41"/>
  <c r="FY17" i="41"/>
  <c r="FY14" i="41"/>
  <c r="FY11" i="41"/>
  <c r="FY26" i="41"/>
  <c r="FY8" i="41"/>
  <c r="FY5" i="41"/>
  <c r="FZ4" i="41"/>
  <c r="FZ6" i="41" s="1"/>
  <c r="FZ27" i="41" s="1"/>
  <c r="FO12" i="41"/>
  <c r="FO15" i="41" s="1"/>
  <c r="FO18" i="41" s="1"/>
  <c r="V165" i="40" l="1"/>
  <c r="FZ9" i="41"/>
  <c r="FY30" i="41"/>
  <c r="FZ26" i="41"/>
  <c r="FZ17" i="41"/>
  <c r="FZ14" i="41"/>
  <c r="FZ11" i="41"/>
  <c r="FZ29" i="41"/>
  <c r="FZ5" i="41"/>
  <c r="GA4" i="41"/>
  <c r="GA6" i="41" s="1"/>
  <c r="GA27" i="41" s="1"/>
  <c r="FZ8" i="41"/>
  <c r="FP12" i="41"/>
  <c r="FP15" i="41" s="1"/>
  <c r="FP18" i="41" s="1"/>
  <c r="V166" i="40" l="1"/>
  <c r="GA9" i="41"/>
  <c r="GA30" i="41" s="1"/>
  <c r="FZ30" i="41"/>
  <c r="FQ12" i="41"/>
  <c r="FQ15" i="41" s="1"/>
  <c r="FQ18" i="41" s="1"/>
  <c r="GA17" i="41"/>
  <c r="GA26" i="41"/>
  <c r="GA29" i="41"/>
  <c r="GA8" i="41"/>
  <c r="GA14" i="41"/>
  <c r="GA5" i="41"/>
  <c r="GA11" i="41"/>
  <c r="V167" i="40" l="1"/>
  <c r="FR12" i="41"/>
  <c r="FR15" i="41" s="1"/>
  <c r="FR18" i="41" s="1"/>
  <c r="FS12" i="41" l="1"/>
  <c r="FS15" i="41" s="1"/>
  <c r="FS18" i="41" s="1"/>
  <c r="V168" i="40" l="1"/>
  <c r="V169" i="40"/>
  <c r="FT12" i="41"/>
  <c r="FT15" i="41" s="1"/>
  <c r="FT18" i="41" s="1"/>
  <c r="V170" i="40" l="1"/>
  <c r="FU12" i="41"/>
  <c r="FU15" i="41" s="1"/>
  <c r="FU18" i="41" s="1"/>
  <c r="FV12" i="41" l="1"/>
  <c r="FV15" i="41" s="1"/>
  <c r="FV18" i="41" s="1"/>
  <c r="V171" i="40" l="1"/>
  <c r="V172" i="40"/>
  <c r="FW12" i="41"/>
  <c r="FW15" i="41" s="1"/>
  <c r="FW18" i="41" s="1"/>
  <c r="V173" i="40" l="1"/>
  <c r="FX12" i="41"/>
  <c r="FX15" i="41" s="1"/>
  <c r="FX18" i="41" s="1"/>
  <c r="FY12" i="41" l="1"/>
  <c r="FY15" i="41" s="1"/>
  <c r="FY18" i="41" s="1"/>
  <c r="V174" i="40" l="1"/>
  <c r="V175" i="40"/>
  <c r="FZ12" i="41"/>
  <c r="FZ15" i="41" s="1"/>
  <c r="FZ18" i="41" s="1"/>
  <c r="GA12" i="41" l="1"/>
  <c r="GA15" i="41" s="1"/>
  <c r="D32" i="40" s="1"/>
  <c r="V176" i="40" l="1"/>
  <c r="V177" i="40"/>
  <c r="GA18" i="41"/>
  <c r="V178" i="40" l="1"/>
  <c r="V179" i="40" l="1"/>
  <c r="V180" i="40" l="1"/>
  <c r="V181" i="40"/>
</calcChain>
</file>

<file path=xl/sharedStrings.xml><?xml version="1.0" encoding="utf-8"?>
<sst xmlns="http://schemas.openxmlformats.org/spreadsheetml/2006/main" count="238" uniqueCount="159">
  <si>
    <t>Probuild</t>
  </si>
  <si>
    <t>Region</t>
  </si>
  <si>
    <t>California</t>
  </si>
  <si>
    <t>Houston</t>
  </si>
  <si>
    <t>Mile High</t>
  </si>
  <si>
    <t>Mountain</t>
  </si>
  <si>
    <t>Portland</t>
  </si>
  <si>
    <t>Seattle</t>
  </si>
  <si>
    <t>Twin Cities</t>
  </si>
  <si>
    <t>AZ</t>
  </si>
  <si>
    <t>CA</t>
  </si>
  <si>
    <t>CO</t>
  </si>
  <si>
    <t>ID</t>
  </si>
  <si>
    <t>KS</t>
  </si>
  <si>
    <t>MN</t>
  </si>
  <si>
    <t>MO</t>
  </si>
  <si>
    <t>NM</t>
  </si>
  <si>
    <t>OR</t>
  </si>
  <si>
    <t>TX</t>
  </si>
  <si>
    <t>UT</t>
  </si>
  <si>
    <t>WA</t>
  </si>
  <si>
    <t>WI</t>
  </si>
  <si>
    <t>IRR</t>
  </si>
  <si>
    <t>Yes/No</t>
  </si>
  <si>
    <t>LOOKUPS</t>
  </si>
  <si>
    <t>DROPDOWNS</t>
  </si>
  <si>
    <t>Other Inputs</t>
  </si>
  <si>
    <t>SMB</t>
  </si>
  <si>
    <t>ENT</t>
  </si>
  <si>
    <t>Opex Load</t>
  </si>
  <si>
    <t>Churn</t>
  </si>
  <si>
    <t>SMB ARPU</t>
  </si>
  <si>
    <t>ENT ARPU</t>
  </si>
  <si>
    <t>ARPU Assumptions</t>
  </si>
  <si>
    <t>Survey Type</t>
  </si>
  <si>
    <t>Conduit</t>
  </si>
  <si>
    <t>Y</t>
  </si>
  <si>
    <t>N</t>
  </si>
  <si>
    <t>ROE</t>
  </si>
  <si>
    <t>U</t>
  </si>
  <si>
    <t>Penetration Assumptions</t>
  </si>
  <si>
    <t>SMB - 12Mo</t>
  </si>
  <si>
    <t>SMB - 36Mo</t>
  </si>
  <si>
    <t>ENT - 12Mo</t>
  </si>
  <si>
    <t>ENT - 36Mo</t>
  </si>
  <si>
    <t>Selected Region ARPU</t>
  </si>
  <si>
    <t>Walkout</t>
  </si>
  <si>
    <t>Greenfield</t>
  </si>
  <si>
    <t>Build Type</t>
  </si>
  <si>
    <t>Smartbuild</t>
  </si>
  <si>
    <t>Desktop</t>
  </si>
  <si>
    <t>Segment</t>
  </si>
  <si>
    <t>NAT</t>
  </si>
  <si>
    <t>GED</t>
  </si>
  <si>
    <t>FED</t>
  </si>
  <si>
    <t>Coax</t>
  </si>
  <si>
    <t>Fiber</t>
  </si>
  <si>
    <t>Both</t>
  </si>
  <si>
    <t>Selected Region:</t>
  </si>
  <si>
    <t>Add. OSP Lateral Cost/SMB</t>
  </si>
  <si>
    <t>Add. OSP Lateral Cost/ENT</t>
  </si>
  <si>
    <t>Month</t>
  </si>
  <si>
    <t>Year</t>
  </si>
  <si>
    <t>Jan</t>
  </si>
  <si>
    <t>Feb</t>
  </si>
  <si>
    <t>Mar</t>
  </si>
  <si>
    <t>Apr</t>
  </si>
  <si>
    <t>Jun</t>
  </si>
  <si>
    <t>Jul</t>
  </si>
  <si>
    <t>Aug</t>
  </si>
  <si>
    <t>Sept</t>
  </si>
  <si>
    <t>Oct</t>
  </si>
  <si>
    <t>Nov</t>
  </si>
  <si>
    <t>Dec</t>
  </si>
  <si>
    <t>May</t>
  </si>
  <si>
    <t># of Multi-Tenant Buildings</t>
  </si>
  <si>
    <t>Lateral Cost Per Building</t>
  </si>
  <si>
    <t>Lateral Cost Per Connect in Multi-Tenant Building</t>
  </si>
  <si>
    <t>Lat Calc Variables</t>
  </si>
  <si>
    <t>36Mo</t>
  </si>
  <si>
    <t>12Mo</t>
  </si>
  <si>
    <t>SMB Lateral Cost/Cx</t>
  </si>
  <si>
    <t>ENT Lateral Cost/Cx</t>
  </si>
  <si>
    <t>&gt;1 gbps</t>
  </si>
  <si>
    <t>1.5-3 mbps</t>
  </si>
  <si>
    <t>10-25 mbps</t>
  </si>
  <si>
    <t>100 mbps-1 gbps</t>
  </si>
  <si>
    <t>25-50 mbps</t>
  </si>
  <si>
    <t>3-6 mbps</t>
  </si>
  <si>
    <t>50-100 mbps</t>
  </si>
  <si>
    <t>6-10 mbps</t>
  </si>
  <si>
    <t>768-1.5 mbps</t>
  </si>
  <si>
    <t>UNKNOWN</t>
  </si>
  <si>
    <t>Max Download Speed</t>
  </si>
  <si>
    <t>Dwelling Type</t>
  </si>
  <si>
    <t>Single-Tenant</t>
  </si>
  <si>
    <t>Multi-Tenant</t>
  </si>
  <si>
    <t>Division</t>
  </si>
  <si>
    <t>Maitenance opex</t>
  </si>
  <si>
    <t>Capex</t>
  </si>
  <si>
    <t>Bandwidth cost</t>
  </si>
  <si>
    <t>NRR</t>
  </si>
  <si>
    <t>Commission</t>
  </si>
  <si>
    <t>Total Upfront</t>
  </si>
  <si>
    <t>ENT Lateral Costs (per site)</t>
  </si>
  <si>
    <t>SMB Lateral Costs (per site)</t>
  </si>
  <si>
    <t>Capital Drivers</t>
  </si>
  <si>
    <t>Capex / Site</t>
  </si>
  <si>
    <t xml:space="preserve">  SMB - Data + Install</t>
  </si>
  <si>
    <t xml:space="preserve">  SMB - Voice + Install</t>
  </si>
  <si>
    <t xml:space="preserve">  SMB - Video + Install</t>
  </si>
  <si>
    <t>Assumptions below are from Quick Checker v.10.1.15</t>
  </si>
  <si>
    <t>MAJ</t>
  </si>
  <si>
    <t>Part of Multi-Tenant</t>
  </si>
  <si>
    <t>SMB 12mo Pen</t>
  </si>
  <si>
    <t>ENT 12mo Pen</t>
  </si>
  <si>
    <t>SMB 36mo Pen</t>
  </si>
  <si>
    <t>ENT 36mo Pen</t>
  </si>
  <si>
    <t>Est. ROW Cost</t>
  </si>
  <si>
    <t># of Buildings (Total)</t>
  </si>
  <si>
    <t>Calculator Lat Variables</t>
  </si>
  <si>
    <t>Private Property Cost</t>
  </si>
  <si>
    <t>Selected Region ARPU Calc</t>
  </si>
  <si>
    <t>Calc</t>
  </si>
  <si>
    <t>Data Center</t>
  </si>
  <si>
    <t>Building Type</t>
  </si>
  <si>
    <t>Standard</t>
  </si>
  <si>
    <t>MDU</t>
  </si>
  <si>
    <t>SFU</t>
  </si>
  <si>
    <t>MD Lead</t>
  </si>
  <si>
    <t>MD Lead Back-up</t>
  </si>
  <si>
    <t>Investment Committee Distribution Lists</t>
  </si>
  <si>
    <t>_WD_CA_MDInvestmentCommitteeApproval_@comcast.com</t>
  </si>
  <si>
    <t>_WD_MTN_MDInvestmentCommitteeApproval_@comcast.com</t>
  </si>
  <si>
    <t>_WD_TC_MDInvestmentCommitteeApproval_@comcast.com</t>
  </si>
  <si>
    <t>_WD_MH_MDInvestmentCommitteeApproval_@comcast.com</t>
  </si>
  <si>
    <t>_WD_WA_MDInvestmentCommitteeApproval_@comcast.com</t>
  </si>
  <si>
    <t>Selected Region</t>
  </si>
  <si>
    <t>MDU Build Type</t>
  </si>
  <si>
    <t>Brownfield</t>
  </si>
  <si>
    <t>Current Service</t>
  </si>
  <si>
    <t>None</t>
  </si>
  <si>
    <t>KENNETH_BRODOFF@comcast.com</t>
  </si>
  <si>
    <t>Jamie_Lazaro@cable.comcast.com</t>
  </si>
  <si>
    <t>Kirk_Joss@cable.comcast.com</t>
  </si>
  <si>
    <t>Chris_Carey2@cable.comcast.com</t>
  </si>
  <si>
    <t>Tim_Klinefelter@cable.comcast.com</t>
  </si>
  <si>
    <t>Thomas_Salmi-Bydalek@cable.comcast.com</t>
  </si>
  <si>
    <t>Ted_Girdner@cable.comcast.com</t>
  </si>
  <si>
    <t>John_Phillips@comcast.com</t>
  </si>
  <si>
    <t>Shawn_Adamson@cable.comcast.com</t>
  </si>
  <si>
    <t>Joni_Pierce@cable.comcast.com</t>
  </si>
  <si>
    <t>Matthew_Fassnacht@cable.comcast.com</t>
  </si>
  <si>
    <t>Kaylene_Hautamaki@cable.comcast.com</t>
  </si>
  <si>
    <t>In Bulk Contract</t>
  </si>
  <si>
    <t>_WD_HOU_MDInvestmentCommitteeApproval_@comcast.com</t>
  </si>
  <si>
    <t>_WD_OR_MDInvestmentCommitteeApproval_@comcast.com</t>
  </si>
  <si>
    <t>SMB Businesses</t>
  </si>
  <si>
    <t>ENT Businesses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</si>
</sst>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  <numFmt numFmtId="165" formatCode="0.0%"/>
    <numFmt numFmtId="166" formatCode="&quot;$&quot;#,##0.00"/>
    <numFmt numFmtId="167" formatCode="#,##0.0_);[Red]\(#,##0.0\)"/>
    <numFmt numFmtId="168" formatCode="yyyy"/>
    <numFmt numFmtId="169" formatCode="#,##0.0"/>
  </numFmts>
  <fonts count="37">
    <font>
      <sz val="11"/>
      <color theme="1"/>
      <name val="Arial Narrow"/>
      <family val="2"/>
    </font>
    <font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1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20"/>
      <color theme="1"/>
      <name val="Arial Narrow"/>
      <family val="2"/>
    </font>
    <font>
      <u/>
      <sz val="11"/>
      <color theme="1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i/>
      <sz val="11"/>
      <color theme="1"/>
      <name val="Arial Narrow"/>
      <family val="2"/>
    </font>
    <font>
      <b/>
      <i/>
      <sz val="11"/>
      <color theme="1"/>
      <name val="Arial Narrow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 Narrow"/>
      <family val="2"/>
    </font>
    <font>
      <b/>
      <sz val="13"/>
      <color theme="3"/>
      <name val="Arial Narrow"/>
      <family val="2"/>
    </font>
    <font>
      <b/>
      <sz val="11"/>
      <color theme="3"/>
      <name val="Arial Narrow"/>
      <family val="2"/>
    </font>
    <font>
      <sz val="11"/>
      <color rgb="FF006100"/>
      <name val="Arial Narrow"/>
      <family val="2"/>
    </font>
    <font>
      <sz val="11"/>
      <color rgb="FF9C0006"/>
      <name val="Arial Narrow"/>
      <family val="2"/>
    </font>
    <font>
      <sz val="11"/>
      <color rgb="FF9C6500"/>
      <name val="Arial Narrow"/>
      <family val="2"/>
    </font>
    <font>
      <sz val="11"/>
      <color rgb="FF3F3F76"/>
      <name val="Arial Narrow"/>
      <family val="2"/>
    </font>
    <font>
      <b/>
      <sz val="11"/>
      <color rgb="FF3F3F3F"/>
      <name val="Arial Narrow"/>
      <family val="2"/>
    </font>
    <font>
      <b/>
      <sz val="11"/>
      <color rgb="FFFA7D00"/>
      <name val="Arial Narrow"/>
      <family val="2"/>
    </font>
    <font>
      <sz val="11"/>
      <color rgb="FFFA7D00"/>
      <name val="Arial Narrow"/>
      <family val="2"/>
    </font>
    <font>
      <b/>
      <sz val="11"/>
      <color theme="0"/>
      <name val="Arial Narrow"/>
      <family val="2"/>
    </font>
    <font>
      <sz val="11"/>
      <color rgb="FFFF0000"/>
      <name val="Arial Narrow"/>
      <family val="2"/>
    </font>
    <font>
      <i/>
      <sz val="11"/>
      <color rgb="FF7F7F7F"/>
      <name val="Arial Narrow"/>
      <family val="2"/>
    </font>
    <font>
      <sz val="12"/>
      <color theme="1"/>
      <name val="Roboto Condensed Light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2"/>
      <color theme="1"/>
      <name val="Roboto Light"/>
    </font>
    <font>
      <b/>
      <sz val="16"/>
      <color rgb="FF0070C0"/>
      <name val="Roboto Condensed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lightUp"/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gray125">
        <fgColor theme="0" tint="-0.14996795556505021"/>
        <bgColor indexed="65"/>
      </patternFill>
    </fill>
    <fill>
      <patternFill patternType="solid">
        <fgColor theme="0" tint="-0.24994659260841701"/>
        <bgColor theme="0"/>
      </patternFill>
    </fill>
    <fill>
      <patternFill patternType="solid">
        <fgColor theme="4" tint="0.79998168889431442"/>
        <bgColor theme="0"/>
      </patternFill>
    </fill>
    <fill>
      <patternFill patternType="lightUp">
        <fgColor theme="0"/>
        <bgColor theme="4" tint="0.7999511703848384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F"/>
        <bgColor theme="0"/>
      </patternFill>
    </fill>
  </fills>
  <borders count="32">
    <border>
      <left/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2" tint="-0.249977111117893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0">
    <xf numFmtId="0" fontId="0" fillId="0" borderId="0"/>
    <xf numFmtId="0" fontId="7" fillId="0" borderId="0" applyNumberFormat="0" applyFill="0" applyBorder="0" applyAlignment="0" applyProtection="0"/>
    <xf numFmtId="0" fontId="8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10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3" applyNumberFormat="0" applyFill="0" applyAlignment="0" applyProtection="0"/>
    <xf numFmtId="0" fontId="20" fillId="0" borderId="24" applyNumberFormat="0" applyFill="0" applyAlignment="0" applyProtection="0"/>
    <xf numFmtId="0" fontId="21" fillId="0" borderId="25" applyNumberFormat="0" applyFill="0" applyAlignment="0" applyProtection="0"/>
    <xf numFmtId="0" fontId="21" fillId="0" borderId="0" applyNumberFormat="0" applyFill="0" applyBorder="0" applyAlignment="0" applyProtection="0"/>
    <xf numFmtId="0" fontId="10" fillId="15" borderId="30" applyNumberFormat="0" applyFont="0" applyAlignment="0" applyProtection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  <xf numFmtId="0" fontId="24" fillId="11" borderId="0" applyNumberFormat="0" applyBorder="0" applyAlignment="0" applyProtection="0"/>
    <xf numFmtId="0" fontId="25" fillId="12" borderId="26" applyNumberFormat="0" applyAlignment="0" applyProtection="0"/>
    <xf numFmtId="0" fontId="26" fillId="13" borderId="27" applyNumberFormat="0" applyAlignment="0" applyProtection="0"/>
    <xf numFmtId="0" fontId="27" fillId="13" borderId="26" applyNumberFormat="0" applyAlignment="0" applyProtection="0"/>
    <xf numFmtId="0" fontId="28" fillId="0" borderId="28" applyNumberFormat="0" applyFill="0" applyAlignment="0" applyProtection="0"/>
    <xf numFmtId="0" fontId="29" fillId="14" borderId="29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" fillId="0" borderId="31" applyNumberFormat="0" applyFill="0" applyAlignment="0" applyProtection="0"/>
    <xf numFmtId="0" fontId="11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1" fillId="39" borderId="0" applyNumberFormat="0" applyBorder="0" applyAlignment="0" applyProtection="0"/>
    <xf numFmtId="0" fontId="33" fillId="0" borderId="0"/>
    <xf numFmtId="0" fontId="34" fillId="10" borderId="0" applyNumberFormat="0" applyBorder="0" applyAlignment="0" applyProtection="0"/>
  </cellStyleXfs>
  <cellXfs count="124">
    <xf numFmtId="0" fontId="0" fillId="0" borderId="0" xfId="0"/>
    <xf numFmtId="0" fontId="0" fillId="0" borderId="0" xfId="0" applyFill="1"/>
    <xf numFmtId="0" fontId="0" fillId="0" borderId="0" xfId="0" applyFill="1" applyBorder="1"/>
    <xf numFmtId="0" fontId="5" fillId="0" borderId="0" xfId="0" applyFont="1"/>
    <xf numFmtId="0" fontId="7" fillId="0" borderId="0" xfId="1" applyFill="1" applyBorder="1"/>
    <xf numFmtId="0" fontId="8" fillId="0" borderId="0" xfId="2" applyAlignment="1"/>
    <xf numFmtId="0" fontId="8" fillId="0" borderId="0" xfId="2" applyAlignment="1">
      <alignment horizontal="center"/>
    </xf>
    <xf numFmtId="0" fontId="8" fillId="0" borderId="0" xfId="2" applyFill="1" applyAlignment="1">
      <alignment horizontal="center"/>
    </xf>
    <xf numFmtId="0" fontId="8" fillId="0" borderId="0" xfId="2" applyFill="1" applyAlignment="1"/>
    <xf numFmtId="0" fontId="0" fillId="2" borderId="0" xfId="0" applyFill="1" applyBorder="1"/>
    <xf numFmtId="0" fontId="6" fillId="0" borderId="0" xfId="0" applyFont="1" applyFill="1"/>
    <xf numFmtId="0" fontId="0" fillId="0" borderId="0" xfId="0" applyFill="1" applyAlignment="1">
      <alignment vertical="center"/>
    </xf>
    <xf numFmtId="0" fontId="0" fillId="3" borderId="0" xfId="0" applyFill="1"/>
    <xf numFmtId="0" fontId="12" fillId="0" borderId="0" xfId="0" applyFont="1"/>
    <xf numFmtId="0" fontId="13" fillId="0" borderId="0" xfId="0" applyFont="1" applyAlignment="1">
      <alignment horizontal="center"/>
    </xf>
    <xf numFmtId="0" fontId="0" fillId="0" borderId="9" xfId="0" applyBorder="1"/>
    <xf numFmtId="9" fontId="0" fillId="0" borderId="9" xfId="4" applyFont="1" applyBorder="1"/>
    <xf numFmtId="165" fontId="0" fillId="0" borderId="9" xfId="4" applyNumberFormat="1" applyFont="1" applyBorder="1"/>
    <xf numFmtId="164" fontId="0" fillId="0" borderId="9" xfId="0" applyNumberFormat="1" applyBorder="1"/>
    <xf numFmtId="166" fontId="0" fillId="0" borderId="9" xfId="0" applyNumberFormat="1" applyBorder="1"/>
    <xf numFmtId="0" fontId="0" fillId="0" borderId="7" xfId="0" applyBorder="1"/>
    <xf numFmtId="164" fontId="14" fillId="4" borderId="10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/>
    <xf numFmtId="0" fontId="0" fillId="0" borderId="0" xfId="0" applyAlignment="1">
      <alignment horizontal="right"/>
    </xf>
    <xf numFmtId="168" fontId="0" fillId="0" borderId="0" xfId="0" applyNumberFormat="1"/>
    <xf numFmtId="0" fontId="0" fillId="0" borderId="0" xfId="0" applyFont="1" applyFill="1" applyBorder="1"/>
    <xf numFmtId="164" fontId="0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0" xfId="4" applyNumberFormat="1" applyFont="1" applyBorder="1"/>
    <xf numFmtId="0" fontId="4" fillId="0" borderId="0" xfId="0" applyFont="1" applyFill="1" applyBorder="1"/>
    <xf numFmtId="166" fontId="4" fillId="0" borderId="0" xfId="0" applyNumberFormat="1" applyFon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16" fillId="0" borderId="0" xfId="0" applyFont="1"/>
    <xf numFmtId="169" fontId="8" fillId="0" borderId="0" xfId="2" applyNumberFormat="1" applyAlignment="1"/>
    <xf numFmtId="14" fontId="8" fillId="0" borderId="0" xfId="2" applyNumberFormat="1" applyAlignment="1"/>
    <xf numFmtId="14" fontId="5" fillId="2" borderId="0" xfId="0" applyNumberFormat="1" applyFont="1" applyFill="1" applyBorder="1" applyProtection="1"/>
    <xf numFmtId="169" fontId="0" fillId="0" borderId="0" xfId="0" applyNumberFormat="1" applyFill="1" applyBorder="1" applyAlignment="1" applyProtection="1">
      <alignment horizontal="center"/>
    </xf>
    <xf numFmtId="14" fontId="0" fillId="0" borderId="0" xfId="0" applyNumberFormat="1" applyFill="1" applyBorder="1" applyProtection="1"/>
    <xf numFmtId="0" fontId="0" fillId="0" borderId="0" xfId="0" applyFill="1" applyBorder="1" applyProtection="1"/>
    <xf numFmtId="169" fontId="5" fillId="0" borderId="0" xfId="0" applyNumberFormat="1" applyFont="1" applyFill="1" applyBorder="1" applyAlignment="1" applyProtection="1">
      <alignment horizontal="center"/>
    </xf>
    <xf numFmtId="169" fontId="14" fillId="5" borderId="14" xfId="0" applyNumberFormat="1" applyFont="1" applyFill="1" applyBorder="1" applyAlignment="1" applyProtection="1">
      <alignment horizontal="left" indent="1"/>
    </xf>
    <xf numFmtId="169" fontId="15" fillId="5" borderId="11" xfId="0" applyNumberFormat="1" applyFont="1" applyFill="1" applyBorder="1" applyAlignment="1" applyProtection="1">
      <alignment horizontal="center"/>
    </xf>
    <xf numFmtId="169" fontId="15" fillId="5" borderId="12" xfId="0" applyNumberFormat="1" applyFont="1" applyFill="1" applyBorder="1" applyAlignment="1" applyProtection="1">
      <alignment horizontal="center"/>
    </xf>
    <xf numFmtId="169" fontId="15" fillId="5" borderId="13" xfId="0" applyNumberFormat="1" applyFont="1" applyFill="1" applyBorder="1" applyAlignment="1" applyProtection="1">
      <alignment horizontal="center"/>
    </xf>
    <xf numFmtId="169" fontId="15" fillId="5" borderId="0" xfId="0" applyNumberFormat="1" applyFont="1" applyFill="1" applyBorder="1" applyAlignment="1" applyProtection="1">
      <alignment horizontal="center"/>
    </xf>
    <xf numFmtId="169" fontId="15" fillId="5" borderId="15" xfId="0" applyNumberFormat="1" applyFont="1" applyFill="1" applyBorder="1" applyAlignment="1" applyProtection="1">
      <alignment horizontal="center"/>
    </xf>
    <xf numFmtId="169" fontId="14" fillId="6" borderId="14" xfId="0" applyNumberFormat="1" applyFont="1" applyFill="1" applyBorder="1" applyAlignment="1" applyProtection="1">
      <alignment horizontal="left" indent="1"/>
    </xf>
    <xf numFmtId="169" fontId="15" fillId="6" borderId="0" xfId="0" applyNumberFormat="1" applyFont="1" applyFill="1" applyBorder="1" applyAlignment="1" applyProtection="1">
      <alignment horizontal="center"/>
    </xf>
    <xf numFmtId="169" fontId="15" fillId="6" borderId="15" xfId="0" applyNumberFormat="1" applyFont="1" applyFill="1" applyBorder="1" applyAlignment="1" applyProtection="1">
      <alignment horizontal="center"/>
    </xf>
    <xf numFmtId="169" fontId="15" fillId="7" borderId="15" xfId="0" applyNumberFormat="1" applyFont="1" applyFill="1" applyBorder="1" applyAlignment="1" applyProtection="1">
      <alignment horizontal="center"/>
    </xf>
    <xf numFmtId="169" fontId="14" fillId="7" borderId="14" xfId="0" applyNumberFormat="1" applyFont="1" applyFill="1" applyBorder="1" applyAlignment="1" applyProtection="1">
      <alignment horizontal="left" indent="1"/>
    </xf>
    <xf numFmtId="169" fontId="15" fillId="7" borderId="0" xfId="0" applyNumberFormat="1" applyFont="1" applyFill="1" applyBorder="1" applyAlignment="1" applyProtection="1">
      <alignment horizontal="center"/>
    </xf>
    <xf numFmtId="169" fontId="15" fillId="7" borderId="16" xfId="0" applyNumberFormat="1" applyFont="1" applyFill="1" applyBorder="1" applyAlignment="1" applyProtection="1">
      <alignment horizontal="center"/>
    </xf>
    <xf numFmtId="169" fontId="15" fillId="7" borderId="17" xfId="0" applyNumberFormat="1" applyFont="1" applyFill="1" applyBorder="1" applyAlignment="1" applyProtection="1">
      <alignment horizontal="center"/>
    </xf>
    <xf numFmtId="169" fontId="15" fillId="7" borderId="18" xfId="0" applyNumberFormat="1" applyFont="1" applyFill="1" applyBorder="1" applyAlignment="1" applyProtection="1">
      <alignment horizontal="center"/>
    </xf>
    <xf numFmtId="14" fontId="5" fillId="2" borderId="4" xfId="0" applyNumberFormat="1" applyFont="1" applyFill="1" applyBorder="1" applyProtection="1"/>
    <xf numFmtId="0" fontId="5" fillId="2" borderId="5" xfId="0" applyFont="1" applyFill="1" applyBorder="1" applyProtection="1"/>
    <xf numFmtId="169" fontId="0" fillId="0" borderId="1" xfId="0" applyNumberFormat="1" applyFill="1" applyBorder="1" applyAlignment="1" applyProtection="1">
      <alignment horizontal="center"/>
    </xf>
    <xf numFmtId="0" fontId="0" fillId="0" borderId="2" xfId="0" applyFill="1" applyBorder="1" applyProtection="1"/>
    <xf numFmtId="0" fontId="0" fillId="0" borderId="2" xfId="0" applyFill="1" applyBorder="1" applyAlignment="1" applyProtection="1">
      <alignment horizontal="left" vertical="top" wrapText="1"/>
    </xf>
    <xf numFmtId="169" fontId="5" fillId="0" borderId="1" xfId="0" applyNumberFormat="1" applyFont="1" applyFill="1" applyBorder="1" applyAlignment="1" applyProtection="1">
      <alignment horizontal="center"/>
    </xf>
    <xf numFmtId="0" fontId="5" fillId="2" borderId="2" xfId="0" applyFont="1" applyFill="1" applyBorder="1" applyProtection="1"/>
    <xf numFmtId="0" fontId="17" fillId="0" borderId="0" xfId="0" applyFont="1" applyFill="1" applyBorder="1"/>
    <xf numFmtId="165" fontId="0" fillId="0" borderId="9" xfId="4" applyNumberFormat="1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8" fillId="40" borderId="0" xfId="2" applyFill="1" applyAlignment="1"/>
    <xf numFmtId="9" fontId="0" fillId="0" borderId="0" xfId="0" applyNumberFormat="1" applyFill="1" applyBorder="1" applyProtection="1"/>
    <xf numFmtId="0" fontId="8" fillId="41" borderId="2" xfId="2" applyFill="1" applyBorder="1" applyAlignment="1"/>
    <xf numFmtId="169" fontId="5" fillId="2" borderId="3" xfId="0" applyNumberFormat="1" applyFont="1" applyFill="1" applyBorder="1" applyAlignment="1" applyProtection="1">
      <alignment horizontal="center"/>
    </xf>
    <xf numFmtId="169" fontId="5" fillId="2" borderId="4" xfId="0" applyNumberFormat="1" applyFont="1" applyFill="1" applyBorder="1" applyAlignment="1" applyProtection="1">
      <alignment horizontal="center"/>
    </xf>
    <xf numFmtId="0" fontId="8" fillId="41" borderId="3" xfId="2" applyFill="1" applyBorder="1" applyAlignment="1">
      <alignment horizontal="center"/>
    </xf>
    <xf numFmtId="0" fontId="8" fillId="41" borderId="1" xfId="2" applyFill="1" applyBorder="1" applyAlignment="1">
      <alignment horizontal="center"/>
    </xf>
    <xf numFmtId="0" fontId="8" fillId="41" borderId="1" xfId="2" applyFill="1" applyBorder="1" applyAlignment="1"/>
    <xf numFmtId="169" fontId="0" fillId="41" borderId="4" xfId="0" applyNumberFormat="1" applyFill="1" applyBorder="1" applyAlignment="1" applyProtection="1">
      <alignment horizontal="center"/>
    </xf>
    <xf numFmtId="14" fontId="0" fillId="41" borderId="4" xfId="0" applyNumberFormat="1" applyFill="1" applyBorder="1" applyProtection="1"/>
    <xf numFmtId="0" fontId="0" fillId="41" borderId="4" xfId="0" applyFill="1" applyBorder="1" applyProtection="1"/>
    <xf numFmtId="0" fontId="8" fillId="41" borderId="5" xfId="2" applyFill="1" applyBorder="1" applyAlignment="1">
      <alignment horizontal="center"/>
    </xf>
    <xf numFmtId="0" fontId="8" fillId="41" borderId="2" xfId="2" applyFill="1" applyBorder="1" applyAlignment="1">
      <alignment horizontal="center"/>
    </xf>
    <xf numFmtId="169" fontId="5" fillId="41" borderId="0" xfId="0" applyNumberFormat="1" applyFont="1" applyFill="1" applyBorder="1" applyAlignment="1" applyProtection="1">
      <alignment horizontal="center"/>
    </xf>
    <xf numFmtId="14" fontId="5" fillId="41" borderId="0" xfId="0" applyNumberFormat="1" applyFont="1" applyFill="1" applyBorder="1" applyProtection="1"/>
    <xf numFmtId="0" fontId="5" fillId="41" borderId="0" xfId="0" applyFont="1" applyFill="1" applyBorder="1" applyProtection="1"/>
    <xf numFmtId="169" fontId="32" fillId="5" borderId="14" xfId="0" applyNumberFormat="1" applyFont="1" applyFill="1" applyBorder="1" applyAlignment="1" applyProtection="1">
      <alignment horizontal="center"/>
    </xf>
    <xf numFmtId="3" fontId="15" fillId="42" borderId="9" xfId="0" applyNumberFormat="1" applyFont="1" applyFill="1" applyBorder="1" applyAlignment="1" applyProtection="1">
      <alignment horizontal="center"/>
      <protection locked="0"/>
    </xf>
    <xf numFmtId="166" fontId="15" fillId="42" borderId="9" xfId="0" applyNumberFormat="1" applyFont="1" applyFill="1" applyBorder="1" applyAlignment="1" applyProtection="1">
      <alignment horizontal="center"/>
      <protection locked="0" hidden="1"/>
    </xf>
    <xf numFmtId="10" fontId="15" fillId="42" borderId="9" xfId="0" applyNumberFormat="1" applyFont="1" applyFill="1" applyBorder="1" applyAlignment="1" applyProtection="1">
      <alignment horizontal="center"/>
      <protection locked="0" hidden="1"/>
    </xf>
    <xf numFmtId="166" fontId="15" fillId="42" borderId="9" xfId="0" applyNumberFormat="1" applyFont="1" applyFill="1" applyBorder="1" applyAlignment="1" applyProtection="1">
      <alignment horizontal="center"/>
      <protection locked="0"/>
    </xf>
    <xf numFmtId="0" fontId="11" fillId="0" borderId="3" xfId="0" applyFont="1" applyFill="1" applyBorder="1"/>
    <xf numFmtId="0" fontId="11" fillId="0" borderId="4" xfId="0" applyFont="1" applyFill="1" applyBorder="1"/>
    <xf numFmtId="0" fontId="11" fillId="0" borderId="5" xfId="0" applyFont="1" applyFill="1" applyBorder="1"/>
    <xf numFmtId="0" fontId="0" fillId="0" borderId="1" xfId="0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/>
    </xf>
    <xf numFmtId="6" fontId="0" fillId="0" borderId="1" xfId="0" applyNumberFormat="1" applyFill="1" applyBorder="1"/>
    <xf numFmtId="6" fontId="0" fillId="0" borderId="0" xfId="0" applyNumberFormat="1" applyFill="1" applyBorder="1"/>
    <xf numFmtId="6" fontId="0" fillId="0" borderId="2" xfId="0" applyNumberFormat="1" applyFill="1" applyBorder="1"/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165" fontId="0" fillId="0" borderId="1" xfId="4" applyNumberFormat="1" applyFont="1" applyFill="1" applyBorder="1" applyAlignment="1">
      <alignment horizontal="right"/>
    </xf>
    <xf numFmtId="165" fontId="0" fillId="0" borderId="0" xfId="4" applyNumberFormat="1" applyFont="1" applyFill="1" applyBorder="1" applyAlignment="1">
      <alignment horizontal="right"/>
    </xf>
    <xf numFmtId="167" fontId="0" fillId="0" borderId="1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right"/>
    </xf>
    <xf numFmtId="167" fontId="0" fillId="0" borderId="2" xfId="0" applyNumberFormat="1" applyFill="1" applyBorder="1" applyAlignment="1">
      <alignment horizontal="right"/>
    </xf>
    <xf numFmtId="167" fontId="0" fillId="0" borderId="6" xfId="0" applyNumberFormat="1" applyFill="1" applyBorder="1" applyAlignment="1">
      <alignment horizontal="right"/>
    </xf>
    <xf numFmtId="167" fontId="0" fillId="0" borderId="7" xfId="0" applyNumberFormat="1" applyFill="1" applyBorder="1" applyAlignment="1">
      <alignment horizontal="right"/>
    </xf>
    <xf numFmtId="167" fontId="0" fillId="0" borderId="8" xfId="0" applyNumberFormat="1" applyFill="1" applyBorder="1" applyAlignment="1">
      <alignment horizontal="right"/>
    </xf>
    <xf numFmtId="6" fontId="8" fillId="0" borderId="0" xfId="2" applyNumberFormat="1" applyAlignment="1">
      <alignment horizontal="center"/>
    </xf>
    <xf numFmtId="169" fontId="32" fillId="5" borderId="14" xfId="0" applyNumberFormat="1" applyFont="1" applyFill="1" applyBorder="1" applyAlignment="1" applyProtection="1">
      <alignment horizontal="left" indent="1"/>
    </xf>
    <xf numFmtId="169" fontId="35" fillId="0" borderId="0" xfId="0" applyNumberFormat="1" applyFont="1" applyFill="1" applyBorder="1" applyAlignment="1" applyProtection="1">
      <alignment horizontal="right" inden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7" fillId="0" borderId="0" xfId="1"/>
    <xf numFmtId="3" fontId="0" fillId="0" borderId="0" xfId="0" applyNumberFormat="1"/>
    <xf numFmtId="0" fontId="0" fillId="0" borderId="2" xfId="0" applyFill="1" applyBorder="1" applyAlignment="1" applyProtection="1">
      <alignment horizontal="left" vertical="top" wrapText="1"/>
    </xf>
    <xf numFmtId="10" fontId="36" fillId="8" borderId="19" xfId="0" applyNumberFormat="1" applyFont="1" applyFill="1" applyBorder="1" applyAlignment="1" applyProtection="1">
      <alignment horizontal="center" vertical="center"/>
    </xf>
    <xf numFmtId="10" fontId="36" fillId="8" borderId="20" xfId="0" applyNumberFormat="1" applyFont="1" applyFill="1" applyBorder="1" applyAlignment="1" applyProtection="1">
      <alignment horizontal="center" vertical="center"/>
    </xf>
    <xf numFmtId="10" fontId="36" fillId="8" borderId="21" xfId="0" applyNumberFormat="1" applyFont="1" applyFill="1" applyBorder="1" applyAlignment="1" applyProtection="1">
      <alignment horizontal="center" vertical="center"/>
    </xf>
    <xf numFmtId="169" fontId="36" fillId="7" borderId="22" xfId="0" applyNumberFormat="1" applyFont="1" applyFill="1" applyBorder="1" applyAlignment="1" applyProtection="1">
      <alignment horizontal="right" vertical="center" indent="1"/>
    </xf>
  </cellXfs>
  <cellStyles count="60">
    <cellStyle name="20% - Accent1 2" xfId="35"/>
    <cellStyle name="20% - Accent2 2" xfId="39"/>
    <cellStyle name="20% - Accent3 2" xfId="43"/>
    <cellStyle name="20% - Accent4 2" xfId="47"/>
    <cellStyle name="20% - Accent5 2" xfId="51"/>
    <cellStyle name="20% - Accent6 2" xfId="55"/>
    <cellStyle name="40% - Accent1 2" xfId="36"/>
    <cellStyle name="40% - Accent2 2" xfId="40"/>
    <cellStyle name="40% - Accent3 2" xfId="44"/>
    <cellStyle name="40% - Accent4 2" xfId="48"/>
    <cellStyle name="40% - Accent5 2" xfId="52"/>
    <cellStyle name="40% - Accent6 2" xfId="56"/>
    <cellStyle name="60% - Accent1 2" xfId="37"/>
    <cellStyle name="60% - Accent2 2" xfId="41"/>
    <cellStyle name="60% - Accent3 2" xfId="45"/>
    <cellStyle name="60% - Accent4 2" xfId="49"/>
    <cellStyle name="60% - Accent5 2" xfId="53"/>
    <cellStyle name="60% - Accent6 2" xfId="57"/>
    <cellStyle name="Accent1 2" xfId="34"/>
    <cellStyle name="Accent2 2" xfId="38"/>
    <cellStyle name="Accent3 2" xfId="42"/>
    <cellStyle name="Accent4 2" xfId="46"/>
    <cellStyle name="Accent5 2" xfId="50"/>
    <cellStyle name="Accent6 2" xfId="54"/>
    <cellStyle name="Bad 2" xfId="24"/>
    <cellStyle name="Bad 3" xfId="59"/>
    <cellStyle name="Calculation 2" xfId="28"/>
    <cellStyle name="Check Cell 2" xfId="30"/>
    <cellStyle name="Currency 2" xfId="6"/>
    <cellStyle name="Currency 2 2" xfId="9"/>
    <cellStyle name="Currency 2 2 2" xfId="15"/>
    <cellStyle name="Currency 2 3" xfId="12"/>
    <cellStyle name="Explanatory Text 2" xfId="32"/>
    <cellStyle name="Good 2" xfId="23"/>
    <cellStyle name="Heading 1" xfId="18" builtinId="16" customBuiltin="1"/>
    <cellStyle name="Heading 2" xfId="19" builtinId="17" customBuiltin="1"/>
    <cellStyle name="Heading 3" xfId="20" builtinId="18" customBuiltin="1"/>
    <cellStyle name="Heading 4" xfId="21" builtinId="19" customBuiltin="1"/>
    <cellStyle name="Hyperlink" xfId="1" builtinId="8"/>
    <cellStyle name="Hyperlink 2" xfId="3"/>
    <cellStyle name="Input 2" xfId="26"/>
    <cellStyle name="Linked Cell 2" xfId="29"/>
    <cellStyle name="Neutral 2" xfId="25"/>
    <cellStyle name="Normal" xfId="0" builtinId="0"/>
    <cellStyle name="Normal 2" xfId="2"/>
    <cellStyle name="Normal 3" xfId="5"/>
    <cellStyle name="Normal 3 2" xfId="8"/>
    <cellStyle name="Normal 3 2 2" xfId="14"/>
    <cellStyle name="Normal 3 3" xfId="11"/>
    <cellStyle name="Normal 4" xfId="58"/>
    <cellStyle name="Note" xfId="22" builtinId="10" customBuiltin="1"/>
    <cellStyle name="Output 2" xfId="27"/>
    <cellStyle name="Percent" xfId="4" builtinId="5"/>
    <cellStyle name="Percent 2" xfId="7"/>
    <cellStyle name="Percent 2 2" xfId="10"/>
    <cellStyle name="Percent 2 2 2" xfId="16"/>
    <cellStyle name="Percent 2 3" xfId="13"/>
    <cellStyle name="Title" xfId="17" builtinId="15" customBuiltin="1"/>
    <cellStyle name="Total 2" xfId="33"/>
    <cellStyle name="Warning Text 2" xfId="31"/>
  </cellStyles>
  <dxfs count="0"/>
  <tableStyles count="0" defaultTableStyle="TableStyleMedium2" defaultPivotStyle="PivotStyleLight16"/>
  <colors>
    <mruColors>
      <color rgb="FFFA0000"/>
      <color rgb="FF8BD0FF"/>
      <color rgb="FF003F92"/>
      <color rgb="FF002B64"/>
      <color rgb="FF0050B9"/>
      <color rgb="FF3BB0FF"/>
      <color rgb="FFEBF7FF"/>
      <color rgb="FFCCECFF"/>
      <color rgb="FFD0D0CE"/>
      <color rgb="FF00D6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6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68609</xdr:colOff>
      <xdr:row>0</xdr:row>
      <xdr:rowOff>40794</xdr:rowOff>
    </xdr:from>
    <xdr:to>
      <xdr:col>1</xdr:col>
      <xdr:colOff>32079</xdr:colOff>
      <xdr:row>1</xdr:row>
      <xdr:rowOff>6831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09" y="40794"/>
          <a:ext cx="668320" cy="175587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2</xdr:row>
      <xdr:rowOff>47625</xdr:rowOff>
    </xdr:from>
    <xdr:to>
      <xdr:col>0</xdr:col>
      <xdr:colOff>469001</xdr:colOff>
      <xdr:row>5</xdr:row>
      <xdr:rowOff>98412</xdr:rowOff>
    </xdr:to>
    <xdr:pic macro="[0]!ClearAll2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314325"/>
          <a:ext cx="297551" cy="374637"/>
        </a:xfrm>
        <a:prstGeom prst="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west/Documents%20and%20Settings/user/Desktop/Google%20GroUP%20mACROS/Interactive%20Map%20Europ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west/Users/jonat/Documents/Fibertown%20Data%20Center%20Model%20V6a%20v7.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Source Data"/>
      <sheetName val="Lookup"/>
      <sheetName val="Contact Us"/>
    </sheetNames>
    <sheetDataSet>
      <sheetData sheetId="0" refreshError="1"/>
      <sheetData sheetId="1" refreshError="1"/>
      <sheetData sheetId="2">
        <row r="2">
          <cell r="A2" t="str">
            <v>Albania</v>
          </cell>
        </row>
        <row r="3">
          <cell r="A3" t="str">
            <v>Andorra</v>
          </cell>
        </row>
        <row r="4">
          <cell r="A4" t="str">
            <v>Armenia</v>
          </cell>
        </row>
        <row r="5">
          <cell r="A5" t="str">
            <v>Austria</v>
          </cell>
        </row>
        <row r="6">
          <cell r="A6" t="str">
            <v>Azerbaijan</v>
          </cell>
        </row>
        <row r="7">
          <cell r="A7" t="str">
            <v>Belarus</v>
          </cell>
        </row>
        <row r="8">
          <cell r="A8" t="str">
            <v>Belgium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s &amp; Summary"/>
      <sheetName val="Sheet1"/>
      <sheetName val="Cash Flows"/>
      <sheetName val="Assumptions"/>
      <sheetName val="Master List"/>
      <sheetName val="Adjusted OCF Margin"/>
      <sheetName val="Division Summary"/>
      <sheetName val="Division Summary (2)"/>
      <sheetName val="Fibertown Data Center Model V6a"/>
    </sheetNames>
    <sheetDataSet>
      <sheetData sheetId="0"/>
      <sheetData sheetId="1">
        <row r="7">
          <cell r="C7" t="str">
            <v>Division</v>
          </cell>
          <cell r="D7" t="str">
            <v>Region</v>
          </cell>
          <cell r="E7" t="str">
            <v>Data Center</v>
          </cell>
        </row>
        <row r="8">
          <cell r="AV8" t="str">
            <v>Ciena 3930</v>
          </cell>
        </row>
        <row r="9">
          <cell r="AV9" t="str">
            <v>Cisco 3600</v>
          </cell>
        </row>
        <row r="10">
          <cell r="AV10" t="str">
            <v>Juniper MX 240</v>
          </cell>
        </row>
        <row r="11">
          <cell r="AV11" t="str">
            <v>Juniper MX 480</v>
          </cell>
        </row>
        <row r="12">
          <cell r="AV12" t="str">
            <v>Juniper MX 960</v>
          </cell>
        </row>
        <row r="13">
          <cell r="AV13" t="str">
            <v>Other</v>
          </cell>
        </row>
        <row r="28">
          <cell r="AV28" t="str">
            <v>HQ Assumptions</v>
          </cell>
          <cell r="AW28" t="str">
            <v>Upgrade</v>
          </cell>
        </row>
        <row r="29">
          <cell r="AV29" t="str">
            <v>Override</v>
          </cell>
          <cell r="AW29" t="str">
            <v>New</v>
          </cell>
        </row>
      </sheetData>
      <sheetData sheetId="2"/>
      <sheetData sheetId="3"/>
      <sheetData sheetId="4"/>
      <sheetData sheetId="5"/>
      <sheetData sheetId="6"/>
      <sheetData sheetId="7">
        <row r="30">
          <cell r="AC30" t="str">
            <v>Big South</v>
          </cell>
        </row>
        <row r="31">
          <cell r="AC31" t="str">
            <v>Florida</v>
          </cell>
        </row>
        <row r="32">
          <cell r="AC32" t="str">
            <v>Chicago</v>
          </cell>
        </row>
        <row r="33">
          <cell r="AC33" t="str">
            <v>Heartland</v>
          </cell>
        </row>
        <row r="34">
          <cell r="AC34" t="str">
            <v>Freedom</v>
          </cell>
        </row>
        <row r="35">
          <cell r="AC35" t="str">
            <v>GBR</v>
          </cell>
        </row>
        <row r="36">
          <cell r="AC36" t="str">
            <v>Beltway</v>
          </cell>
        </row>
        <row r="37">
          <cell r="AC37" t="str">
            <v>Keystone</v>
          </cell>
        </row>
        <row r="38">
          <cell r="AC38" t="str">
            <v>WNE</v>
          </cell>
        </row>
        <row r="39">
          <cell r="AC39" t="str">
            <v>California</v>
          </cell>
        </row>
        <row r="40">
          <cell r="AC40" t="str">
            <v>Houston</v>
          </cell>
        </row>
        <row r="41">
          <cell r="AC41" t="str">
            <v>Mountain</v>
          </cell>
        </row>
        <row r="42">
          <cell r="AC42" t="str">
            <v>Portland</v>
          </cell>
        </row>
        <row r="43">
          <cell r="AC43" t="str">
            <v>Seattle</v>
          </cell>
        </row>
        <row r="44">
          <cell r="AC44" t="str">
            <v>Twin Cities</v>
          </cell>
        </row>
        <row r="45">
          <cell r="AC45" t="str">
            <v>Central</v>
          </cell>
        </row>
        <row r="46">
          <cell r="AC46" t="str">
            <v>NorthEast</v>
          </cell>
        </row>
        <row r="47">
          <cell r="AC47" t="str">
            <v>West</v>
          </cell>
        </row>
        <row r="48">
          <cell r="AC48" t="str">
            <v>Total</v>
          </cell>
        </row>
      </sheetData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B0A129D-E986-4F57-9E01-424EE3F4E9F4}">
  <we:reference id="wa104150524" version="1.0.0.1" store="en-US" storeType="OMEX"/>
  <we:alternateReferences>
    <we:reference id="WA104150524" version="1.0.0.1" store="WA10415052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_WD_HOU_MDInvestmentCommitteeApproval_@comcast.com" TargetMode="External"/><Relationship Id="rId7" Type="http://schemas.openxmlformats.org/officeDocument/2006/relationships/hyperlink" Target="mailto:_WD_TC_MDInvestmentCommitteeApproval_@comcast.com" TargetMode="External"/><Relationship Id="rId2" Type="http://schemas.openxmlformats.org/officeDocument/2006/relationships/hyperlink" Target="mailto:_WD_MH_MDInvestmentCommitteeApproval_@comcast.com" TargetMode="External"/><Relationship Id="rId1" Type="http://schemas.openxmlformats.org/officeDocument/2006/relationships/hyperlink" Target="mailto:_WD_MTN_MDInvestmentCommitteeApproval_@comcast.com" TargetMode="External"/><Relationship Id="rId6" Type="http://schemas.openxmlformats.org/officeDocument/2006/relationships/hyperlink" Target="mailto:_WD_WA_MDInvestmentCommitteeApproval_@comcast.com" TargetMode="External"/><Relationship Id="rId5" Type="http://schemas.openxmlformats.org/officeDocument/2006/relationships/hyperlink" Target="mailto:_WD_OR_MDInvestmentCommitteeApproval_@comcast.com" TargetMode="External"/><Relationship Id="rId4" Type="http://schemas.openxmlformats.org/officeDocument/2006/relationships/hyperlink" Target="mailto:_WD_CA_MDInvestmentCommitteeApproval_@comcast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/>
  </sheetPr>
  <dimension ref="A1:V3025"/>
  <sheetViews>
    <sheetView showGridLines="0" showRowColHeaders="0" tabSelected="1" zoomScaleNormal="100" workbookViewId="0">
      <selection activeCell="D3" sqref="D3"/>
    </sheetView>
  </sheetViews>
  <sheetFormatPr defaultColWidth="0" defaultRowHeight="0" customHeight="1" zeroHeight="1"/>
  <cols>
    <col min="1" max="1" width="10.5703125" style="69" customWidth="1"/>
    <col min="2" max="2" width="2.7109375" style="34" customWidth="1"/>
    <col min="3" max="3" width="30.42578125" style="34" bestFit="1" customWidth="1"/>
    <col min="4" max="4" width="15.7109375" style="35" customWidth="1"/>
    <col min="5" max="5" width="1.7109375" style="35" customWidth="1"/>
    <col min="6" max="6" width="2.7109375" style="5" customWidth="1"/>
    <col min="7" max="7" width="7.7109375" style="69" customWidth="1"/>
    <col min="8" max="9" width="7.7109375" style="8" hidden="1" customWidth="1"/>
    <col min="10" max="10" width="9.140625" style="8" hidden="1" customWidth="1"/>
    <col min="11" max="12" width="7.7109375" style="5" hidden="1" customWidth="1"/>
    <col min="13" max="13" width="9.140625" style="5" hidden="1" customWidth="1"/>
    <col min="14" max="14" width="7.7109375" style="5" hidden="1" customWidth="1"/>
    <col min="15" max="15" width="9.140625" style="5" hidden="1" customWidth="1"/>
    <col min="16" max="18" width="7.7109375" style="5" hidden="1" customWidth="1"/>
    <col min="19" max="21" width="9.140625" style="5" hidden="1" customWidth="1"/>
    <col min="22" max="22" width="9.7109375" style="5" hidden="1" customWidth="1"/>
    <col min="23" max="16384" width="9.140625" style="5" hidden="1"/>
  </cols>
  <sheetData>
    <row r="1" spans="1:22" s="6" customFormat="1" ht="16.5">
      <c r="A1" s="74"/>
      <c r="B1" s="82"/>
      <c r="C1" s="82"/>
      <c r="D1" s="83"/>
      <c r="E1" s="83"/>
      <c r="F1" s="84"/>
      <c r="G1" s="80"/>
      <c r="H1" s="7"/>
      <c r="I1" s="7"/>
      <c r="J1" s="7"/>
      <c r="V1" s="112" t="e">
        <f>#REF!</f>
        <v>#REF!</v>
      </c>
    </row>
    <row r="2" spans="1:22" s="6" customFormat="1" ht="5.0999999999999996" customHeight="1">
      <c r="A2" s="75"/>
      <c r="B2" s="72"/>
      <c r="C2" s="73"/>
      <c r="D2" s="56"/>
      <c r="E2" s="56"/>
      <c r="F2" s="57"/>
      <c r="G2" s="81"/>
      <c r="H2" s="7"/>
      <c r="I2" s="7"/>
      <c r="J2" s="7"/>
      <c r="V2" s="112" t="e">
        <f>#REF!</f>
        <v>#REF!</v>
      </c>
    </row>
    <row r="3" spans="1:22" s="6" customFormat="1" ht="16.5">
      <c r="A3" s="75"/>
      <c r="B3" s="61"/>
      <c r="C3" s="114" t="s">
        <v>1</v>
      </c>
      <c r="D3" s="86"/>
      <c r="E3" s="36"/>
      <c r="F3" s="62"/>
      <c r="G3" s="81"/>
      <c r="H3" s="7"/>
      <c r="I3" s="7"/>
      <c r="J3" s="7"/>
      <c r="V3" s="112" t="e">
        <f>#REF!</f>
        <v>#REF!</v>
      </c>
    </row>
    <row r="4" spans="1:22" s="6" customFormat="1" ht="4.5" customHeight="1" thickBot="1">
      <c r="A4" s="75"/>
      <c r="B4" s="61"/>
      <c r="C4" s="40"/>
      <c r="D4" s="36"/>
      <c r="E4" s="36"/>
      <c r="F4" s="62"/>
      <c r="G4" s="81"/>
      <c r="H4" s="7"/>
      <c r="I4" s="7"/>
      <c r="J4" s="7"/>
      <c r="V4" s="112" t="e">
        <f>#REF!</f>
        <v>#REF!</v>
      </c>
    </row>
    <row r="5" spans="1:22" ht="5.0999999999999996" customHeight="1">
      <c r="A5" s="76"/>
      <c r="B5" s="58"/>
      <c r="C5" s="42"/>
      <c r="D5" s="43"/>
      <c r="E5" s="44"/>
      <c r="F5" s="59"/>
      <c r="G5" s="71"/>
      <c r="V5" s="112" t="e">
        <f>#REF!</f>
        <v>#REF!</v>
      </c>
    </row>
    <row r="6" spans="1:22" ht="16.5" customHeight="1">
      <c r="A6" s="76"/>
      <c r="B6" s="58"/>
      <c r="C6" s="113" t="s">
        <v>157</v>
      </c>
      <c r="D6" s="86"/>
      <c r="E6" s="46"/>
      <c r="F6" s="119"/>
      <c r="G6" s="71"/>
      <c r="V6" s="112" t="e">
        <f>#REF!</f>
        <v>#REF!</v>
      </c>
    </row>
    <row r="7" spans="1:22" ht="5.0999999999999996" customHeight="1">
      <c r="A7" s="76"/>
      <c r="B7" s="58"/>
      <c r="C7" s="85"/>
      <c r="D7" s="45"/>
      <c r="E7" s="46"/>
      <c r="F7" s="119"/>
      <c r="G7" s="71"/>
      <c r="V7" s="112" t="e">
        <f>#REF!</f>
        <v>#REF!</v>
      </c>
    </row>
    <row r="8" spans="1:22" ht="16.5">
      <c r="A8" s="76"/>
      <c r="B8" s="58"/>
      <c r="C8" s="113" t="s">
        <v>158</v>
      </c>
      <c r="D8" s="86"/>
      <c r="E8" s="46"/>
      <c r="F8" s="119"/>
      <c r="G8" s="71"/>
      <c r="V8" s="112" t="e">
        <f>#REF!</f>
        <v>#REF!</v>
      </c>
    </row>
    <row r="9" spans="1:22" ht="5.0999999999999996" customHeight="1">
      <c r="A9" s="76"/>
      <c r="B9" s="58"/>
      <c r="C9" s="113"/>
      <c r="D9" s="45"/>
      <c r="E9" s="46"/>
      <c r="F9" s="60"/>
      <c r="G9" s="71"/>
      <c r="V9" s="112" t="e">
        <f>#REF!</f>
        <v>#REF!</v>
      </c>
    </row>
    <row r="10" spans="1:22" ht="16.5">
      <c r="A10" s="76"/>
      <c r="B10" s="58"/>
      <c r="C10" s="113" t="s">
        <v>119</v>
      </c>
      <c r="D10" s="86"/>
      <c r="E10" s="46"/>
      <c r="F10" s="59"/>
      <c r="G10" s="71"/>
      <c r="V10" s="112" t="e">
        <f>#REF!</f>
        <v>#REF!</v>
      </c>
    </row>
    <row r="11" spans="1:22" ht="5.0999999999999996" customHeight="1">
      <c r="A11" s="76"/>
      <c r="B11" s="58"/>
      <c r="C11" s="113"/>
      <c r="D11" s="45"/>
      <c r="E11" s="46"/>
      <c r="F11" s="59"/>
      <c r="G11" s="71"/>
      <c r="V11" s="112" t="e">
        <f>#REF!</f>
        <v>#REF!</v>
      </c>
    </row>
    <row r="12" spans="1:22" ht="16.5" customHeight="1">
      <c r="A12" s="76"/>
      <c r="B12" s="58"/>
      <c r="C12" s="113" t="s">
        <v>75</v>
      </c>
      <c r="D12" s="86"/>
      <c r="E12" s="46"/>
      <c r="F12" s="59"/>
      <c r="G12" s="71"/>
      <c r="V12" s="112" t="e">
        <f>#REF!</f>
        <v>#REF!</v>
      </c>
    </row>
    <row r="13" spans="1:22" ht="5.0999999999999996" customHeight="1">
      <c r="A13" s="76"/>
      <c r="B13" s="58"/>
      <c r="C13" s="85"/>
      <c r="D13" s="45"/>
      <c r="E13" s="46"/>
      <c r="F13" s="59"/>
      <c r="G13" s="71"/>
      <c r="V13" s="112" t="e">
        <f>#REF!</f>
        <v>#REF!</v>
      </c>
    </row>
    <row r="14" spans="1:22" ht="16.5" customHeight="1">
      <c r="A14" s="76"/>
      <c r="B14" s="58"/>
      <c r="C14" s="113" t="s">
        <v>31</v>
      </c>
      <c r="D14" s="87" t="str">
        <f>SMBARPUAssumptionCalc</f>
        <v/>
      </c>
      <c r="E14" s="46"/>
      <c r="F14" s="59"/>
      <c r="G14" s="71"/>
      <c r="V14" s="112" t="e">
        <f>#REF!</f>
        <v>#REF!</v>
      </c>
    </row>
    <row r="15" spans="1:22" ht="5.0999999999999996" customHeight="1">
      <c r="A15" s="76"/>
      <c r="B15" s="58"/>
      <c r="C15" s="85"/>
      <c r="D15" s="45"/>
      <c r="E15" s="46"/>
      <c r="F15" s="59"/>
      <c r="G15" s="71"/>
      <c r="V15" s="112" t="e">
        <f>#REF!</f>
        <v>#REF!</v>
      </c>
    </row>
    <row r="16" spans="1:22" ht="16.5" customHeight="1">
      <c r="A16" s="76"/>
      <c r="B16" s="58"/>
      <c r="C16" s="113" t="s">
        <v>32</v>
      </c>
      <c r="D16" s="87" t="str">
        <f>ENTARPUAssumptionCalc</f>
        <v/>
      </c>
      <c r="E16" s="46"/>
      <c r="F16" s="59"/>
      <c r="G16" s="71"/>
      <c r="V16" s="112" t="e">
        <f>#REF!</f>
        <v>#REF!</v>
      </c>
    </row>
    <row r="17" spans="1:22" ht="5.0999999999999996" customHeight="1">
      <c r="A17" s="76"/>
      <c r="B17" s="58"/>
      <c r="C17" s="113"/>
      <c r="D17" s="45"/>
      <c r="E17" s="46"/>
      <c r="F17" s="59"/>
      <c r="G17" s="71"/>
      <c r="V17" s="112" t="e">
        <f>#REF!</f>
        <v>#REF!</v>
      </c>
    </row>
    <row r="18" spans="1:22" ht="16.5" customHeight="1">
      <c r="A18" s="76"/>
      <c r="B18" s="58"/>
      <c r="C18" s="113" t="s">
        <v>114</v>
      </c>
      <c r="D18" s="88" t="str">
        <f>SMB12MoCalc</f>
        <v/>
      </c>
      <c r="E18" s="46"/>
      <c r="F18" s="59"/>
      <c r="G18" s="71"/>
      <c r="V18" s="112" t="e">
        <f>#REF!</f>
        <v>#REF!</v>
      </c>
    </row>
    <row r="19" spans="1:22" ht="5.0999999999999996" customHeight="1">
      <c r="A19" s="76"/>
      <c r="B19" s="58"/>
      <c r="C19" s="85"/>
      <c r="D19" s="45"/>
      <c r="E19" s="46"/>
      <c r="F19" s="59"/>
      <c r="G19" s="71"/>
      <c r="V19" s="112" t="e">
        <f>#REF!</f>
        <v>#REF!</v>
      </c>
    </row>
    <row r="20" spans="1:22" ht="16.5" customHeight="1">
      <c r="A20" s="76"/>
      <c r="B20" s="58"/>
      <c r="C20" s="113" t="s">
        <v>116</v>
      </c>
      <c r="D20" s="88" t="str">
        <f>SMB36MoCalc</f>
        <v/>
      </c>
      <c r="E20" s="46"/>
      <c r="F20" s="59"/>
      <c r="G20" s="71"/>
      <c r="V20" s="112" t="e">
        <f>#REF!</f>
        <v>#REF!</v>
      </c>
    </row>
    <row r="21" spans="1:22" ht="5.0999999999999996" customHeight="1">
      <c r="A21" s="76"/>
      <c r="B21" s="58"/>
      <c r="C21" s="113"/>
      <c r="D21" s="45"/>
      <c r="E21" s="46"/>
      <c r="F21" s="59"/>
      <c r="G21" s="71"/>
      <c r="V21" s="112" t="e">
        <f>#REF!</f>
        <v>#REF!</v>
      </c>
    </row>
    <row r="22" spans="1:22" ht="16.5" customHeight="1">
      <c r="A22" s="76"/>
      <c r="B22" s="58"/>
      <c r="C22" s="113" t="s">
        <v>115</v>
      </c>
      <c r="D22" s="88" t="str">
        <f>ENT12MoCalc</f>
        <v/>
      </c>
      <c r="E22" s="46"/>
      <c r="F22" s="59"/>
      <c r="G22" s="71"/>
      <c r="V22" s="112" t="e">
        <f>#REF!</f>
        <v>#REF!</v>
      </c>
    </row>
    <row r="23" spans="1:22" ht="5.0999999999999996" customHeight="1">
      <c r="A23" s="76"/>
      <c r="B23" s="58"/>
      <c r="C23" s="85"/>
      <c r="D23" s="45"/>
      <c r="E23" s="46"/>
      <c r="F23" s="59"/>
      <c r="G23" s="71"/>
      <c r="V23" s="112" t="e">
        <f>#REF!</f>
        <v>#REF!</v>
      </c>
    </row>
    <row r="24" spans="1:22" ht="16.5" customHeight="1">
      <c r="A24" s="76"/>
      <c r="B24" s="58"/>
      <c r="C24" s="113" t="s">
        <v>117</v>
      </c>
      <c r="D24" s="88" t="str">
        <f>ENT36MoCalc</f>
        <v/>
      </c>
      <c r="E24" s="46"/>
      <c r="F24" s="59"/>
      <c r="G24" s="71"/>
      <c r="V24" s="112" t="e">
        <f>#REF!</f>
        <v>#REF!</v>
      </c>
    </row>
    <row r="25" spans="1:22" ht="5.0999999999999996" customHeight="1">
      <c r="A25" s="76"/>
      <c r="B25" s="58"/>
      <c r="C25" s="113"/>
      <c r="D25" s="45"/>
      <c r="E25" s="46"/>
      <c r="F25" s="59"/>
      <c r="G25" s="71"/>
      <c r="V25" s="112" t="e">
        <f>#REF!</f>
        <v>#REF!</v>
      </c>
    </row>
    <row r="26" spans="1:22" ht="16.5" customHeight="1">
      <c r="A26" s="76"/>
      <c r="B26" s="58"/>
      <c r="C26" s="113" t="s">
        <v>118</v>
      </c>
      <c r="D26" s="89"/>
      <c r="E26" s="46"/>
      <c r="F26" s="59"/>
      <c r="G26" s="71"/>
      <c r="V26" s="112" t="e">
        <f>#REF!</f>
        <v>#REF!</v>
      </c>
    </row>
    <row r="27" spans="1:22" ht="5.0999999999999996" customHeight="1">
      <c r="A27" s="76"/>
      <c r="B27" s="58"/>
      <c r="C27" s="113"/>
      <c r="D27" s="45"/>
      <c r="E27" s="46"/>
      <c r="F27" s="59"/>
      <c r="G27" s="71"/>
      <c r="V27" s="112" t="e">
        <f>#REF!</f>
        <v>#REF!</v>
      </c>
    </row>
    <row r="28" spans="1:22" ht="16.5" customHeight="1">
      <c r="A28" s="76"/>
      <c r="B28" s="58"/>
      <c r="C28" s="113" t="s">
        <v>121</v>
      </c>
      <c r="D28" s="89"/>
      <c r="E28" s="46"/>
      <c r="F28" s="59"/>
      <c r="G28" s="71"/>
      <c r="V28" s="112" t="e">
        <f>#REF!</f>
        <v>#REF!</v>
      </c>
    </row>
    <row r="29" spans="1:22" ht="5.0999999999999996" customHeight="1">
      <c r="A29" s="76"/>
      <c r="B29" s="58"/>
      <c r="C29" s="41"/>
      <c r="D29" s="45"/>
      <c r="E29" s="46"/>
      <c r="F29" s="59"/>
      <c r="G29" s="71"/>
      <c r="V29" s="112" t="e">
        <f>#REF!</f>
        <v>#REF!</v>
      </c>
    </row>
    <row r="30" spans="1:22" ht="5.0999999999999996" customHeight="1">
      <c r="A30" s="76"/>
      <c r="B30" s="58"/>
      <c r="C30" s="47"/>
      <c r="D30" s="48"/>
      <c r="E30" s="49"/>
      <c r="F30" s="59"/>
      <c r="G30" s="71"/>
      <c r="V30" s="112" t="e">
        <f>#REF!</f>
        <v>#REF!</v>
      </c>
    </row>
    <row r="31" spans="1:22" ht="5.0999999999999996" customHeight="1">
      <c r="A31" s="76"/>
      <c r="B31" s="58"/>
      <c r="C31" s="51"/>
      <c r="D31" s="52"/>
      <c r="E31" s="50"/>
      <c r="F31" s="59"/>
      <c r="G31" s="71"/>
      <c r="V31" s="112" t="e">
        <f>#REF!</f>
        <v>#REF!</v>
      </c>
    </row>
    <row r="32" spans="1:22" ht="16.5">
      <c r="A32" s="76"/>
      <c r="B32" s="58"/>
      <c r="C32" s="123" t="s">
        <v>22</v>
      </c>
      <c r="D32" s="120">
        <f>IF(RegionSelectionCalc="",0,IFERROR(((1+IRR(CashFlow180MoCalc,0))^12-1),0))</f>
        <v>0</v>
      </c>
      <c r="E32" s="50"/>
      <c r="F32" s="59"/>
      <c r="G32" s="71"/>
      <c r="V32" s="112" t="e">
        <f>#REF!</f>
        <v>#REF!</v>
      </c>
    </row>
    <row r="33" spans="1:22" ht="5.0999999999999996" customHeight="1">
      <c r="A33" s="76"/>
      <c r="B33" s="58"/>
      <c r="C33" s="123"/>
      <c r="D33" s="121"/>
      <c r="E33" s="50"/>
      <c r="F33" s="59"/>
      <c r="G33" s="71"/>
      <c r="V33" s="112" t="e">
        <f>#REF!</f>
        <v>#REF!</v>
      </c>
    </row>
    <row r="34" spans="1:22" ht="16.5">
      <c r="A34" s="76"/>
      <c r="B34" s="58"/>
      <c r="C34" s="123"/>
      <c r="D34" s="122"/>
      <c r="E34" s="50"/>
      <c r="F34" s="59"/>
      <c r="G34" s="71"/>
      <c r="V34" s="112" t="e">
        <f>#REF!</f>
        <v>#REF!</v>
      </c>
    </row>
    <row r="35" spans="1:22" ht="5.0999999999999996" customHeight="1" thickBot="1">
      <c r="A35" s="76"/>
      <c r="B35" s="58"/>
      <c r="C35" s="53"/>
      <c r="D35" s="54"/>
      <c r="E35" s="55"/>
      <c r="F35" s="59"/>
      <c r="G35" s="71"/>
      <c r="V35" s="112" t="e">
        <f>#REF!</f>
        <v>#REF!</v>
      </c>
    </row>
    <row r="36" spans="1:22" ht="16.5">
      <c r="A36" s="76"/>
      <c r="B36" s="58"/>
      <c r="C36" s="37"/>
      <c r="D36" s="70"/>
      <c r="E36" s="38"/>
      <c r="F36" s="59"/>
      <c r="G36" s="71"/>
      <c r="V36" s="112" t="e">
        <f>#REF!</f>
        <v>#REF!</v>
      </c>
    </row>
    <row r="37" spans="1:22" s="8" customFormat="1" ht="16.5">
      <c r="A37" s="76"/>
      <c r="B37" s="77"/>
      <c r="C37" s="77"/>
      <c r="D37" s="78"/>
      <c r="E37" s="78"/>
      <c r="F37" s="79"/>
      <c r="G37" s="71"/>
      <c r="K37" s="5"/>
      <c r="L37" s="5"/>
      <c r="M37" s="5"/>
      <c r="N37" s="5"/>
      <c r="O37" s="5"/>
      <c r="P37" s="5"/>
      <c r="V37" s="112" t="e">
        <f>#REF!</f>
        <v>#REF!</v>
      </c>
    </row>
    <row r="38" spans="1:22" s="8" customFormat="1" ht="16.5" hidden="1">
      <c r="B38" s="37"/>
      <c r="C38" s="37"/>
      <c r="D38" s="38"/>
      <c r="E38" s="38"/>
      <c r="F38" s="39"/>
      <c r="K38" s="5"/>
      <c r="L38" s="5"/>
      <c r="M38" s="5"/>
      <c r="N38" s="5"/>
      <c r="O38" s="5"/>
      <c r="P38" s="5"/>
      <c r="V38" s="112" t="e">
        <f>#REF!</f>
        <v>#REF!</v>
      </c>
    </row>
    <row r="39" spans="1:22" s="8" customFormat="1" ht="16.5" hidden="1">
      <c r="B39" s="37"/>
      <c r="C39" s="37"/>
      <c r="D39" s="38"/>
      <c r="E39" s="38"/>
      <c r="F39" s="39"/>
      <c r="K39" s="5"/>
      <c r="L39" s="5"/>
      <c r="M39" s="5"/>
      <c r="N39" s="5"/>
      <c r="O39" s="5"/>
      <c r="P39" s="5"/>
      <c r="V39" s="112" t="e">
        <f>#REF!</f>
        <v>#REF!</v>
      </c>
    </row>
    <row r="40" spans="1:22" s="8" customFormat="1" ht="16.5" hidden="1">
      <c r="B40" s="37"/>
      <c r="C40" s="37"/>
      <c r="D40" s="38"/>
      <c r="E40" s="38"/>
      <c r="F40" s="39"/>
      <c r="K40" s="5"/>
      <c r="L40" s="5"/>
      <c r="M40" s="5"/>
      <c r="N40" s="5"/>
      <c r="O40" s="5"/>
      <c r="P40" s="5"/>
      <c r="V40" s="112" t="e">
        <f>#REF!</f>
        <v>#REF!</v>
      </c>
    </row>
    <row r="41" spans="1:22" s="8" customFormat="1" ht="16.5" hidden="1">
      <c r="B41" s="37"/>
      <c r="C41" s="37"/>
      <c r="D41" s="38"/>
      <c r="E41" s="38"/>
      <c r="F41" s="39"/>
      <c r="K41" s="5"/>
      <c r="L41" s="5"/>
      <c r="M41" s="5"/>
      <c r="N41" s="5"/>
      <c r="O41" s="5"/>
      <c r="P41" s="5"/>
      <c r="V41" s="112" t="e">
        <f>#REF!</f>
        <v>#REF!</v>
      </c>
    </row>
    <row r="42" spans="1:22" s="8" customFormat="1" ht="16.5" hidden="1">
      <c r="B42" s="37"/>
      <c r="C42" s="37"/>
      <c r="D42" s="38"/>
      <c r="E42" s="38"/>
      <c r="F42" s="39"/>
      <c r="K42" s="5"/>
      <c r="L42" s="5"/>
      <c r="M42" s="5"/>
      <c r="N42" s="5"/>
      <c r="O42" s="5"/>
      <c r="P42" s="5"/>
      <c r="V42" s="112" t="e">
        <f>#REF!</f>
        <v>#REF!</v>
      </c>
    </row>
    <row r="43" spans="1:22" s="8" customFormat="1" ht="16.5" hidden="1">
      <c r="B43" s="37"/>
      <c r="C43" s="37"/>
      <c r="D43" s="38"/>
      <c r="E43" s="38"/>
      <c r="F43" s="39"/>
      <c r="K43" s="5"/>
      <c r="L43" s="5"/>
      <c r="M43" s="5"/>
      <c r="N43" s="5"/>
      <c r="O43" s="5"/>
      <c r="P43" s="5"/>
      <c r="V43" s="112" t="e">
        <f>#REF!</f>
        <v>#REF!</v>
      </c>
    </row>
    <row r="44" spans="1:22" s="8" customFormat="1" ht="16.5" hidden="1">
      <c r="B44" s="37"/>
      <c r="C44" s="37"/>
      <c r="D44" s="38"/>
      <c r="E44" s="38"/>
      <c r="F44" s="39"/>
      <c r="K44" s="5"/>
      <c r="L44" s="5"/>
      <c r="M44" s="5"/>
      <c r="N44" s="5"/>
      <c r="O44" s="5"/>
      <c r="P44" s="5"/>
      <c r="V44" s="112" t="e">
        <f>#REF!</f>
        <v>#REF!</v>
      </c>
    </row>
    <row r="45" spans="1:22" s="8" customFormat="1" ht="16.5" hidden="1">
      <c r="B45" s="37"/>
      <c r="C45" s="37"/>
      <c r="D45" s="38"/>
      <c r="E45" s="38"/>
      <c r="F45" s="39"/>
      <c r="K45" s="5"/>
      <c r="L45" s="5"/>
      <c r="M45" s="5"/>
      <c r="N45" s="5"/>
      <c r="O45" s="5"/>
      <c r="P45" s="5"/>
      <c r="V45" s="112" t="e">
        <f>#REF!</f>
        <v>#REF!</v>
      </c>
    </row>
    <row r="46" spans="1:22" s="8" customFormat="1" ht="16.5" hidden="1">
      <c r="B46" s="37"/>
      <c r="C46" s="37"/>
      <c r="D46" s="38"/>
      <c r="E46" s="38"/>
      <c r="F46" s="39"/>
      <c r="K46" s="5"/>
      <c r="L46" s="5"/>
      <c r="M46" s="5"/>
      <c r="N46" s="5"/>
      <c r="O46" s="5"/>
      <c r="P46" s="5"/>
      <c r="V46" s="112" t="e">
        <f>#REF!</f>
        <v>#REF!</v>
      </c>
    </row>
    <row r="47" spans="1:22" s="8" customFormat="1" ht="16.5" hidden="1">
      <c r="B47" s="37"/>
      <c r="C47" s="37"/>
      <c r="D47" s="38"/>
      <c r="E47" s="38"/>
      <c r="F47" s="39"/>
      <c r="K47" s="5"/>
      <c r="L47" s="5"/>
      <c r="M47" s="5"/>
      <c r="N47" s="5"/>
      <c r="O47" s="5"/>
      <c r="P47" s="5"/>
      <c r="V47" s="112" t="e">
        <f>#REF!</f>
        <v>#REF!</v>
      </c>
    </row>
    <row r="48" spans="1:22" s="8" customFormat="1" ht="16.5" hidden="1">
      <c r="B48" s="37"/>
      <c r="C48" s="37"/>
      <c r="D48" s="38"/>
      <c r="E48" s="38"/>
      <c r="F48" s="39"/>
      <c r="K48" s="5"/>
      <c r="L48" s="5"/>
      <c r="M48" s="5"/>
      <c r="N48" s="5"/>
      <c r="O48" s="5"/>
      <c r="P48" s="5"/>
      <c r="V48" s="112" t="e">
        <f>#REF!</f>
        <v>#REF!</v>
      </c>
    </row>
    <row r="49" spans="2:22" s="8" customFormat="1" ht="16.5" hidden="1">
      <c r="B49" s="37"/>
      <c r="C49" s="37"/>
      <c r="D49" s="38"/>
      <c r="E49" s="38"/>
      <c r="F49" s="39"/>
      <c r="K49" s="5"/>
      <c r="L49" s="5"/>
      <c r="M49" s="5"/>
      <c r="N49" s="5"/>
      <c r="O49" s="5"/>
      <c r="P49" s="5"/>
      <c r="V49" s="112" t="e">
        <f>#REF!</f>
        <v>#REF!</v>
      </c>
    </row>
    <row r="50" spans="2:22" s="8" customFormat="1" ht="16.5" hidden="1">
      <c r="B50" s="37"/>
      <c r="C50" s="37"/>
      <c r="D50" s="38"/>
      <c r="E50" s="38"/>
      <c r="F50" s="39"/>
      <c r="K50" s="5"/>
      <c r="L50" s="5"/>
      <c r="M50" s="5"/>
      <c r="N50" s="5"/>
      <c r="O50" s="5"/>
      <c r="P50" s="5"/>
      <c r="V50" s="112" t="e">
        <f>#REF!</f>
        <v>#REF!</v>
      </c>
    </row>
    <row r="51" spans="2:22" s="8" customFormat="1" ht="16.5" hidden="1">
      <c r="B51" s="37"/>
      <c r="C51" s="37"/>
      <c r="D51" s="38"/>
      <c r="E51" s="38"/>
      <c r="F51" s="39"/>
      <c r="K51" s="5"/>
      <c r="L51" s="5"/>
      <c r="M51" s="5"/>
      <c r="N51" s="5"/>
      <c r="O51" s="5"/>
      <c r="P51" s="5"/>
      <c r="V51" s="112" t="e">
        <f>#REF!</f>
        <v>#REF!</v>
      </c>
    </row>
    <row r="52" spans="2:22" s="8" customFormat="1" ht="16.5" hidden="1">
      <c r="B52" s="37"/>
      <c r="C52" s="37"/>
      <c r="D52" s="38"/>
      <c r="E52" s="38"/>
      <c r="F52" s="39"/>
      <c r="K52" s="5"/>
      <c r="L52" s="5"/>
      <c r="M52" s="5"/>
      <c r="N52" s="5"/>
      <c r="O52" s="5"/>
      <c r="P52" s="5"/>
      <c r="V52" s="112" t="e">
        <f>#REF!</f>
        <v>#REF!</v>
      </c>
    </row>
    <row r="53" spans="2:22" s="8" customFormat="1" ht="16.5" hidden="1">
      <c r="B53" s="37"/>
      <c r="C53" s="37"/>
      <c r="D53" s="38"/>
      <c r="E53" s="38"/>
      <c r="F53" s="39"/>
      <c r="K53" s="5"/>
      <c r="L53" s="5"/>
      <c r="M53" s="5"/>
      <c r="N53" s="5"/>
      <c r="O53" s="5"/>
      <c r="P53" s="5"/>
      <c r="V53" s="112" t="e">
        <f>#REF!</f>
        <v>#REF!</v>
      </c>
    </row>
    <row r="54" spans="2:22" s="8" customFormat="1" ht="16.5" hidden="1">
      <c r="B54" s="37"/>
      <c r="C54" s="37"/>
      <c r="D54" s="38"/>
      <c r="E54" s="38"/>
      <c r="F54" s="39"/>
      <c r="K54" s="5"/>
      <c r="L54" s="5"/>
      <c r="M54" s="5"/>
      <c r="N54" s="5"/>
      <c r="O54" s="5"/>
      <c r="P54" s="5"/>
      <c r="V54" s="112" t="e">
        <f>#REF!</f>
        <v>#REF!</v>
      </c>
    </row>
    <row r="55" spans="2:22" s="8" customFormat="1" ht="16.5" hidden="1">
      <c r="B55" s="37"/>
      <c r="C55" s="37"/>
      <c r="D55" s="38"/>
      <c r="E55" s="38"/>
      <c r="F55" s="39"/>
      <c r="K55" s="5"/>
      <c r="L55" s="5"/>
      <c r="M55" s="5"/>
      <c r="N55" s="5"/>
      <c r="O55" s="5"/>
      <c r="P55" s="5"/>
      <c r="V55" s="112" t="e">
        <f>#REF!</f>
        <v>#REF!</v>
      </c>
    </row>
    <row r="56" spans="2:22" s="8" customFormat="1" ht="16.5" hidden="1">
      <c r="B56" s="37"/>
      <c r="C56" s="37"/>
      <c r="D56" s="38"/>
      <c r="E56" s="38"/>
      <c r="F56" s="39"/>
      <c r="K56" s="5"/>
      <c r="L56" s="5"/>
      <c r="M56" s="5"/>
      <c r="N56" s="5"/>
      <c r="O56" s="5"/>
      <c r="P56" s="5"/>
      <c r="V56" s="112" t="e">
        <f>#REF!</f>
        <v>#REF!</v>
      </c>
    </row>
    <row r="57" spans="2:22" s="8" customFormat="1" ht="16.5" hidden="1">
      <c r="B57" s="37"/>
      <c r="C57" s="37"/>
      <c r="D57" s="38"/>
      <c r="E57" s="38"/>
      <c r="F57" s="39"/>
      <c r="K57" s="5"/>
      <c r="L57" s="5"/>
      <c r="M57" s="5"/>
      <c r="N57" s="5"/>
      <c r="O57" s="5"/>
      <c r="P57" s="5"/>
      <c r="V57" s="112" t="e">
        <f>#REF!</f>
        <v>#REF!</v>
      </c>
    </row>
    <row r="58" spans="2:22" s="8" customFormat="1" ht="16.5" hidden="1">
      <c r="B58" s="37"/>
      <c r="C58" s="37"/>
      <c r="D58" s="38"/>
      <c r="E58" s="38"/>
      <c r="F58" s="39"/>
      <c r="K58" s="5"/>
      <c r="L58" s="5"/>
      <c r="M58" s="5"/>
      <c r="N58" s="5"/>
      <c r="O58" s="5"/>
      <c r="P58" s="5"/>
      <c r="V58" s="112" t="e">
        <f>#REF!</f>
        <v>#REF!</v>
      </c>
    </row>
    <row r="59" spans="2:22" s="8" customFormat="1" ht="16.5" hidden="1">
      <c r="B59" s="37"/>
      <c r="C59" s="37"/>
      <c r="D59" s="38"/>
      <c r="E59" s="38"/>
      <c r="F59" s="39"/>
      <c r="K59" s="5"/>
      <c r="L59" s="5"/>
      <c r="M59" s="5"/>
      <c r="N59" s="5"/>
      <c r="O59" s="5"/>
      <c r="P59" s="5"/>
      <c r="V59" s="112" t="e">
        <f>#REF!</f>
        <v>#REF!</v>
      </c>
    </row>
    <row r="60" spans="2:22" s="8" customFormat="1" ht="16.5" hidden="1">
      <c r="B60" s="37"/>
      <c r="C60" s="37"/>
      <c r="D60" s="38"/>
      <c r="E60" s="38"/>
      <c r="F60" s="39"/>
      <c r="K60" s="5"/>
      <c r="L60" s="5"/>
      <c r="M60" s="5"/>
      <c r="N60" s="5"/>
      <c r="O60" s="5"/>
      <c r="P60" s="5"/>
      <c r="V60" s="112" t="e">
        <f>#REF!</f>
        <v>#REF!</v>
      </c>
    </row>
    <row r="61" spans="2:22" s="8" customFormat="1" ht="16.5" hidden="1">
      <c r="B61" s="37"/>
      <c r="C61" s="37"/>
      <c r="D61" s="38"/>
      <c r="E61" s="38"/>
      <c r="F61" s="39"/>
      <c r="K61" s="5"/>
      <c r="L61" s="5"/>
      <c r="M61" s="5"/>
      <c r="N61" s="5"/>
      <c r="O61" s="5"/>
      <c r="P61" s="5"/>
      <c r="V61" s="112" t="e">
        <f>#REF!</f>
        <v>#REF!</v>
      </c>
    </row>
    <row r="62" spans="2:22" s="8" customFormat="1" ht="16.5" hidden="1">
      <c r="B62" s="37"/>
      <c r="C62" s="37"/>
      <c r="D62" s="38"/>
      <c r="E62" s="38"/>
      <c r="F62" s="39"/>
      <c r="K62" s="5"/>
      <c r="L62" s="5"/>
      <c r="M62" s="5"/>
      <c r="N62" s="5"/>
      <c r="O62" s="5"/>
      <c r="P62" s="5"/>
      <c r="V62" s="112" t="e">
        <f>#REF!</f>
        <v>#REF!</v>
      </c>
    </row>
    <row r="63" spans="2:22" s="8" customFormat="1" ht="16.5" hidden="1">
      <c r="B63" s="37"/>
      <c r="C63" s="37"/>
      <c r="D63" s="38"/>
      <c r="E63" s="38"/>
      <c r="F63" s="39"/>
      <c r="K63" s="5"/>
      <c r="L63" s="5"/>
      <c r="M63" s="5"/>
      <c r="N63" s="5"/>
      <c r="O63" s="5"/>
      <c r="P63" s="5"/>
      <c r="V63" s="112" t="e">
        <f>#REF!</f>
        <v>#REF!</v>
      </c>
    </row>
    <row r="64" spans="2:22" s="8" customFormat="1" ht="16.5" hidden="1">
      <c r="B64" s="37"/>
      <c r="C64" s="37"/>
      <c r="D64" s="38"/>
      <c r="E64" s="38"/>
      <c r="F64" s="39"/>
      <c r="K64" s="5"/>
      <c r="L64" s="5"/>
      <c r="M64" s="5"/>
      <c r="N64" s="5"/>
      <c r="O64" s="5"/>
      <c r="P64" s="5"/>
      <c r="V64" s="112" t="e">
        <f>#REF!</f>
        <v>#REF!</v>
      </c>
    </row>
    <row r="65" spans="2:22" s="8" customFormat="1" ht="16.5" hidden="1">
      <c r="B65" s="37"/>
      <c r="C65" s="37"/>
      <c r="D65" s="38"/>
      <c r="E65" s="38"/>
      <c r="F65" s="39"/>
      <c r="K65" s="5"/>
      <c r="L65" s="5"/>
      <c r="M65" s="5"/>
      <c r="N65" s="5"/>
      <c r="O65" s="5"/>
      <c r="P65" s="5"/>
      <c r="V65" s="112" t="e">
        <f>#REF!</f>
        <v>#REF!</v>
      </c>
    </row>
    <row r="66" spans="2:22" s="8" customFormat="1" ht="16.5" hidden="1">
      <c r="B66" s="37"/>
      <c r="C66" s="37"/>
      <c r="D66" s="38"/>
      <c r="E66" s="38"/>
      <c r="F66" s="39"/>
      <c r="K66" s="5"/>
      <c r="L66" s="5"/>
      <c r="M66" s="5"/>
      <c r="N66" s="5"/>
      <c r="O66" s="5"/>
      <c r="P66" s="5"/>
      <c r="V66" s="112" t="e">
        <f>#REF!</f>
        <v>#REF!</v>
      </c>
    </row>
    <row r="67" spans="2:22" s="8" customFormat="1" ht="16.5" hidden="1">
      <c r="B67" s="37"/>
      <c r="C67" s="37"/>
      <c r="D67" s="38"/>
      <c r="E67" s="38"/>
      <c r="F67" s="39"/>
      <c r="K67" s="5"/>
      <c r="L67" s="5"/>
      <c r="M67" s="5"/>
      <c r="N67" s="5"/>
      <c r="O67" s="5"/>
      <c r="P67" s="5"/>
      <c r="V67" s="112" t="e">
        <f>#REF!</f>
        <v>#REF!</v>
      </c>
    </row>
    <row r="68" spans="2:22" s="8" customFormat="1" ht="16.5" hidden="1">
      <c r="B68" s="37"/>
      <c r="C68" s="37"/>
      <c r="D68" s="38"/>
      <c r="E68" s="38"/>
      <c r="F68" s="39"/>
      <c r="K68" s="5"/>
      <c r="L68" s="5"/>
      <c r="M68" s="5"/>
      <c r="N68" s="5"/>
      <c r="O68" s="5"/>
      <c r="P68" s="5"/>
      <c r="V68" s="112" t="e">
        <f>#REF!</f>
        <v>#REF!</v>
      </c>
    </row>
    <row r="69" spans="2:22" s="8" customFormat="1" ht="16.5" hidden="1">
      <c r="B69" s="37"/>
      <c r="C69" s="37"/>
      <c r="D69" s="38"/>
      <c r="E69" s="38"/>
      <c r="F69" s="39"/>
      <c r="K69" s="5"/>
      <c r="L69" s="5"/>
      <c r="M69" s="5"/>
      <c r="N69" s="5"/>
      <c r="O69" s="5"/>
      <c r="P69" s="5"/>
      <c r="V69" s="112" t="e">
        <f>#REF!</f>
        <v>#REF!</v>
      </c>
    </row>
    <row r="70" spans="2:22" s="8" customFormat="1" ht="16.5" hidden="1">
      <c r="B70" s="37"/>
      <c r="C70" s="37"/>
      <c r="D70" s="38"/>
      <c r="E70" s="38"/>
      <c r="F70" s="39"/>
      <c r="K70" s="5"/>
      <c r="L70" s="5"/>
      <c r="M70" s="5"/>
      <c r="N70" s="5"/>
      <c r="O70" s="5"/>
      <c r="P70" s="5"/>
      <c r="V70" s="112" t="e">
        <f>#REF!</f>
        <v>#REF!</v>
      </c>
    </row>
    <row r="71" spans="2:22" s="8" customFormat="1" ht="16.5" hidden="1">
      <c r="B71" s="37"/>
      <c r="C71" s="37"/>
      <c r="D71" s="38"/>
      <c r="E71" s="38"/>
      <c r="F71" s="39"/>
      <c r="K71" s="5"/>
      <c r="L71" s="5"/>
      <c r="M71" s="5"/>
      <c r="N71" s="5"/>
      <c r="O71" s="5"/>
      <c r="P71" s="5"/>
      <c r="V71" s="112" t="e">
        <f>#REF!</f>
        <v>#REF!</v>
      </c>
    </row>
    <row r="72" spans="2:22" s="8" customFormat="1" ht="16.5" hidden="1">
      <c r="B72" s="37"/>
      <c r="C72" s="37"/>
      <c r="D72" s="38"/>
      <c r="E72" s="38"/>
      <c r="F72" s="39"/>
      <c r="K72" s="5"/>
      <c r="L72" s="5"/>
      <c r="M72" s="5"/>
      <c r="N72" s="5"/>
      <c r="O72" s="5"/>
      <c r="P72" s="5"/>
      <c r="V72" s="112" t="e">
        <f>#REF!</f>
        <v>#REF!</v>
      </c>
    </row>
    <row r="73" spans="2:22" s="8" customFormat="1" ht="16.5" hidden="1">
      <c r="B73" s="37"/>
      <c r="C73" s="37"/>
      <c r="D73" s="38"/>
      <c r="E73" s="38"/>
      <c r="F73" s="39"/>
      <c r="K73" s="5"/>
      <c r="L73" s="5"/>
      <c r="M73" s="5"/>
      <c r="N73" s="5"/>
      <c r="O73" s="5"/>
      <c r="P73" s="5"/>
      <c r="V73" s="112" t="e">
        <f>#REF!</f>
        <v>#REF!</v>
      </c>
    </row>
    <row r="74" spans="2:22" s="8" customFormat="1" ht="16.5" hidden="1">
      <c r="B74" s="37"/>
      <c r="C74" s="37"/>
      <c r="D74" s="38"/>
      <c r="E74" s="38"/>
      <c r="F74" s="39"/>
      <c r="K74" s="5"/>
      <c r="L74" s="5"/>
      <c r="M74" s="5"/>
      <c r="N74" s="5"/>
      <c r="O74" s="5"/>
      <c r="P74" s="5"/>
      <c r="V74" s="112" t="e">
        <f>#REF!</f>
        <v>#REF!</v>
      </c>
    </row>
    <row r="75" spans="2:22" s="8" customFormat="1" ht="16.5" hidden="1">
      <c r="B75" s="37"/>
      <c r="C75" s="37"/>
      <c r="D75" s="38"/>
      <c r="E75" s="38"/>
      <c r="F75" s="39"/>
      <c r="K75" s="5"/>
      <c r="L75" s="5"/>
      <c r="M75" s="5"/>
      <c r="N75" s="5"/>
      <c r="O75" s="5"/>
      <c r="P75" s="5"/>
      <c r="V75" s="112" t="e">
        <f>#REF!</f>
        <v>#REF!</v>
      </c>
    </row>
    <row r="76" spans="2:22" s="8" customFormat="1" ht="16.5" hidden="1">
      <c r="B76" s="37"/>
      <c r="C76" s="37"/>
      <c r="D76" s="38"/>
      <c r="E76" s="38"/>
      <c r="F76" s="39"/>
      <c r="K76" s="5"/>
      <c r="L76" s="5"/>
      <c r="M76" s="5"/>
      <c r="N76" s="5"/>
      <c r="O76" s="5"/>
      <c r="P76" s="5"/>
      <c r="V76" s="112" t="e">
        <f>#REF!</f>
        <v>#REF!</v>
      </c>
    </row>
    <row r="77" spans="2:22" s="8" customFormat="1" ht="16.5" hidden="1">
      <c r="B77" s="37"/>
      <c r="C77" s="37"/>
      <c r="D77" s="38"/>
      <c r="E77" s="38"/>
      <c r="F77" s="39"/>
      <c r="K77" s="5"/>
      <c r="L77" s="5"/>
      <c r="M77" s="5"/>
      <c r="N77" s="5"/>
      <c r="O77" s="5"/>
      <c r="P77" s="5"/>
      <c r="V77" s="112" t="e">
        <f>#REF!</f>
        <v>#REF!</v>
      </c>
    </row>
    <row r="78" spans="2:22" s="8" customFormat="1" ht="16.5" hidden="1">
      <c r="B78" s="37"/>
      <c r="C78" s="37"/>
      <c r="D78" s="38"/>
      <c r="E78" s="38"/>
      <c r="F78" s="39"/>
      <c r="K78" s="5"/>
      <c r="L78" s="5"/>
      <c r="M78" s="5"/>
      <c r="N78" s="5"/>
      <c r="O78" s="5"/>
      <c r="P78" s="5"/>
      <c r="V78" s="112" t="e">
        <f>#REF!</f>
        <v>#REF!</v>
      </c>
    </row>
    <row r="79" spans="2:22" s="8" customFormat="1" ht="16.5" hidden="1">
      <c r="B79" s="37"/>
      <c r="C79" s="37"/>
      <c r="D79" s="38"/>
      <c r="E79" s="38"/>
      <c r="F79" s="39"/>
      <c r="K79" s="5"/>
      <c r="L79" s="5"/>
      <c r="M79" s="5"/>
      <c r="N79" s="5"/>
      <c r="O79" s="5"/>
      <c r="P79" s="5"/>
      <c r="V79" s="112" t="e">
        <f>#REF!</f>
        <v>#REF!</v>
      </c>
    </row>
    <row r="80" spans="2:22" s="8" customFormat="1" ht="16.5" hidden="1">
      <c r="B80" s="37"/>
      <c r="C80" s="37"/>
      <c r="D80" s="38"/>
      <c r="E80" s="38"/>
      <c r="F80" s="39"/>
      <c r="K80" s="5"/>
      <c r="L80" s="5"/>
      <c r="M80" s="5"/>
      <c r="N80" s="5"/>
      <c r="O80" s="5"/>
      <c r="P80" s="5"/>
      <c r="V80" s="112" t="e">
        <f>#REF!</f>
        <v>#REF!</v>
      </c>
    </row>
    <row r="81" spans="2:22" s="8" customFormat="1" ht="16.5" hidden="1">
      <c r="B81" s="37"/>
      <c r="C81" s="37"/>
      <c r="D81" s="38"/>
      <c r="E81" s="38"/>
      <c r="F81" s="39"/>
      <c r="K81" s="5"/>
      <c r="L81" s="5"/>
      <c r="M81" s="5"/>
      <c r="N81" s="5"/>
      <c r="O81" s="5"/>
      <c r="P81" s="5"/>
      <c r="V81" s="112" t="e">
        <f>#REF!</f>
        <v>#REF!</v>
      </c>
    </row>
    <row r="82" spans="2:22" s="8" customFormat="1" ht="16.5" hidden="1">
      <c r="B82" s="37"/>
      <c r="C82" s="37"/>
      <c r="D82" s="38"/>
      <c r="E82" s="38"/>
      <c r="F82" s="39"/>
      <c r="K82" s="5"/>
      <c r="L82" s="5"/>
      <c r="M82" s="5"/>
      <c r="N82" s="5"/>
      <c r="O82" s="5"/>
      <c r="P82" s="5"/>
      <c r="V82" s="112" t="e">
        <f>#REF!</f>
        <v>#REF!</v>
      </c>
    </row>
    <row r="83" spans="2:22" s="8" customFormat="1" ht="16.5" hidden="1">
      <c r="B83" s="37"/>
      <c r="C83" s="37"/>
      <c r="D83" s="38"/>
      <c r="E83" s="38"/>
      <c r="F83" s="39"/>
      <c r="K83" s="5"/>
      <c r="L83" s="5"/>
      <c r="M83" s="5"/>
      <c r="N83" s="5"/>
      <c r="O83" s="5"/>
      <c r="P83" s="5"/>
      <c r="V83" s="112" t="e">
        <f>#REF!</f>
        <v>#REF!</v>
      </c>
    </row>
    <row r="84" spans="2:22" s="8" customFormat="1" ht="16.5" hidden="1">
      <c r="B84" s="37"/>
      <c r="C84" s="37"/>
      <c r="D84" s="38"/>
      <c r="E84" s="38"/>
      <c r="F84" s="39"/>
      <c r="K84" s="5"/>
      <c r="L84" s="5"/>
      <c r="M84" s="5"/>
      <c r="N84" s="5"/>
      <c r="O84" s="5"/>
      <c r="P84" s="5"/>
      <c r="V84" s="112" t="e">
        <f>#REF!</f>
        <v>#REF!</v>
      </c>
    </row>
    <row r="85" spans="2:22" s="8" customFormat="1" ht="16.5" hidden="1">
      <c r="B85" s="37"/>
      <c r="C85" s="37"/>
      <c r="D85" s="38"/>
      <c r="E85" s="38"/>
      <c r="F85" s="39"/>
      <c r="K85" s="5"/>
      <c r="L85" s="5"/>
      <c r="M85" s="5"/>
      <c r="N85" s="5"/>
      <c r="O85" s="5"/>
      <c r="P85" s="5"/>
      <c r="V85" s="112" t="e">
        <f>#REF!</f>
        <v>#REF!</v>
      </c>
    </row>
    <row r="86" spans="2:22" s="8" customFormat="1" ht="16.5" hidden="1">
      <c r="B86" s="37"/>
      <c r="C86" s="37"/>
      <c r="D86" s="38"/>
      <c r="E86" s="38"/>
      <c r="F86" s="39"/>
      <c r="K86" s="5"/>
      <c r="L86" s="5"/>
      <c r="M86" s="5"/>
      <c r="N86" s="5"/>
      <c r="O86" s="5"/>
      <c r="P86" s="5"/>
      <c r="V86" s="112" t="e">
        <f>#REF!</f>
        <v>#REF!</v>
      </c>
    </row>
    <row r="87" spans="2:22" s="8" customFormat="1" ht="16.5" hidden="1">
      <c r="B87" s="37"/>
      <c r="C87" s="37"/>
      <c r="D87" s="38"/>
      <c r="E87" s="38"/>
      <c r="F87" s="39"/>
      <c r="K87" s="5"/>
      <c r="L87" s="5"/>
      <c r="M87" s="5"/>
      <c r="N87" s="5"/>
      <c r="O87" s="5"/>
      <c r="P87" s="5"/>
      <c r="V87" s="112" t="e">
        <f>#REF!</f>
        <v>#REF!</v>
      </c>
    </row>
    <row r="88" spans="2:22" s="8" customFormat="1" ht="16.5" hidden="1">
      <c r="B88" s="37"/>
      <c r="C88" s="37"/>
      <c r="D88" s="38"/>
      <c r="E88" s="38"/>
      <c r="F88" s="39"/>
      <c r="K88" s="5"/>
      <c r="L88" s="5"/>
      <c r="M88" s="5"/>
      <c r="N88" s="5"/>
      <c r="O88" s="5"/>
      <c r="P88" s="5"/>
      <c r="V88" s="112" t="e">
        <f>#REF!</f>
        <v>#REF!</v>
      </c>
    </row>
    <row r="89" spans="2:22" s="8" customFormat="1" ht="16.5" hidden="1">
      <c r="B89" s="37"/>
      <c r="C89" s="37"/>
      <c r="D89" s="38"/>
      <c r="E89" s="38"/>
      <c r="F89" s="39"/>
      <c r="K89" s="5"/>
      <c r="L89" s="5"/>
      <c r="M89" s="5"/>
      <c r="N89" s="5"/>
      <c r="O89" s="5"/>
      <c r="P89" s="5"/>
      <c r="V89" s="112" t="e">
        <f>#REF!</f>
        <v>#REF!</v>
      </c>
    </row>
    <row r="90" spans="2:22" s="8" customFormat="1" ht="16.5" hidden="1">
      <c r="B90" s="37"/>
      <c r="C90" s="37"/>
      <c r="D90" s="38"/>
      <c r="E90" s="38"/>
      <c r="F90" s="39"/>
      <c r="K90" s="5"/>
      <c r="L90" s="5"/>
      <c r="M90" s="5"/>
      <c r="N90" s="5"/>
      <c r="O90" s="5"/>
      <c r="P90" s="5"/>
      <c r="V90" s="112" t="e">
        <f>#REF!</f>
        <v>#REF!</v>
      </c>
    </row>
    <row r="91" spans="2:22" s="8" customFormat="1" ht="16.5" hidden="1">
      <c r="B91" s="37"/>
      <c r="C91" s="37"/>
      <c r="D91" s="38"/>
      <c r="E91" s="38"/>
      <c r="F91" s="39"/>
      <c r="K91" s="5"/>
      <c r="L91" s="5"/>
      <c r="M91" s="5"/>
      <c r="N91" s="5"/>
      <c r="O91" s="5"/>
      <c r="P91" s="5"/>
      <c r="V91" s="112" t="e">
        <f>#REF!</f>
        <v>#REF!</v>
      </c>
    </row>
    <row r="92" spans="2:22" s="8" customFormat="1" ht="16.5" hidden="1">
      <c r="B92" s="37"/>
      <c r="C92" s="37"/>
      <c r="D92" s="38"/>
      <c r="E92" s="38"/>
      <c r="F92" s="39"/>
      <c r="K92" s="5"/>
      <c r="L92" s="5"/>
      <c r="M92" s="5"/>
      <c r="N92" s="5"/>
      <c r="O92" s="5"/>
      <c r="P92" s="5"/>
      <c r="V92" s="112" t="e">
        <f>#REF!</f>
        <v>#REF!</v>
      </c>
    </row>
    <row r="93" spans="2:22" s="8" customFormat="1" ht="16.5" hidden="1">
      <c r="B93" s="37"/>
      <c r="C93" s="37"/>
      <c r="D93" s="38"/>
      <c r="E93" s="38"/>
      <c r="F93" s="39"/>
      <c r="K93" s="5"/>
      <c r="L93" s="5"/>
      <c r="M93" s="5"/>
      <c r="N93" s="5"/>
      <c r="O93" s="5"/>
      <c r="P93" s="5"/>
      <c r="V93" s="112" t="e">
        <f>#REF!</f>
        <v>#REF!</v>
      </c>
    </row>
    <row r="94" spans="2:22" s="8" customFormat="1" ht="16.5" hidden="1">
      <c r="B94" s="37"/>
      <c r="C94" s="37"/>
      <c r="D94" s="38"/>
      <c r="E94" s="38"/>
      <c r="F94" s="39"/>
      <c r="K94" s="5"/>
      <c r="L94" s="5"/>
      <c r="M94" s="5"/>
      <c r="N94" s="5"/>
      <c r="O94" s="5"/>
      <c r="P94" s="5"/>
      <c r="V94" s="112" t="e">
        <f>#REF!</f>
        <v>#REF!</v>
      </c>
    </row>
    <row r="95" spans="2:22" s="8" customFormat="1" ht="16.5" hidden="1">
      <c r="B95" s="37"/>
      <c r="C95" s="37"/>
      <c r="D95" s="38"/>
      <c r="E95" s="38"/>
      <c r="F95" s="39"/>
      <c r="K95" s="5"/>
      <c r="L95" s="5"/>
      <c r="M95" s="5"/>
      <c r="N95" s="5"/>
      <c r="O95" s="5"/>
      <c r="P95" s="5"/>
      <c r="V95" s="112" t="e">
        <f>#REF!</f>
        <v>#REF!</v>
      </c>
    </row>
    <row r="96" spans="2:22" s="8" customFormat="1" ht="16.5" hidden="1">
      <c r="B96" s="37"/>
      <c r="C96" s="37"/>
      <c r="D96" s="38"/>
      <c r="E96" s="38"/>
      <c r="F96" s="39"/>
      <c r="K96" s="5"/>
      <c r="L96" s="5"/>
      <c r="M96" s="5"/>
      <c r="N96" s="5"/>
      <c r="O96" s="5"/>
      <c r="P96" s="5"/>
      <c r="V96" s="112" t="e">
        <f>#REF!</f>
        <v>#REF!</v>
      </c>
    </row>
    <row r="97" spans="2:22" s="8" customFormat="1" ht="16.5" hidden="1">
      <c r="B97" s="37"/>
      <c r="C97" s="37"/>
      <c r="D97" s="38"/>
      <c r="E97" s="38"/>
      <c r="F97" s="39"/>
      <c r="K97" s="5"/>
      <c r="L97" s="5"/>
      <c r="M97" s="5"/>
      <c r="N97" s="5"/>
      <c r="O97" s="5"/>
      <c r="P97" s="5"/>
      <c r="V97" s="112" t="e">
        <f>#REF!</f>
        <v>#REF!</v>
      </c>
    </row>
    <row r="98" spans="2:22" s="8" customFormat="1" ht="16.5" hidden="1">
      <c r="B98" s="37"/>
      <c r="C98" s="37"/>
      <c r="D98" s="38"/>
      <c r="E98" s="38"/>
      <c r="F98" s="39"/>
      <c r="K98" s="5"/>
      <c r="L98" s="5"/>
      <c r="M98" s="5"/>
      <c r="N98" s="5"/>
      <c r="O98" s="5"/>
      <c r="P98" s="5"/>
      <c r="V98" s="112" t="e">
        <f>#REF!</f>
        <v>#REF!</v>
      </c>
    </row>
    <row r="99" spans="2:22" s="8" customFormat="1" ht="16.5" hidden="1">
      <c r="B99" s="37"/>
      <c r="C99" s="37"/>
      <c r="D99" s="38"/>
      <c r="E99" s="38"/>
      <c r="F99" s="39"/>
      <c r="K99" s="5"/>
      <c r="L99" s="5"/>
      <c r="M99" s="5"/>
      <c r="N99" s="5"/>
      <c r="O99" s="5"/>
      <c r="P99" s="5"/>
      <c r="V99" s="112" t="e">
        <f>#REF!</f>
        <v>#REF!</v>
      </c>
    </row>
    <row r="100" spans="2:22" s="8" customFormat="1" ht="16.5" hidden="1">
      <c r="B100" s="37"/>
      <c r="C100" s="37"/>
      <c r="D100" s="38"/>
      <c r="E100" s="38"/>
      <c r="F100" s="39"/>
      <c r="K100" s="5"/>
      <c r="L100" s="5"/>
      <c r="M100" s="5"/>
      <c r="N100" s="5"/>
      <c r="O100" s="5"/>
      <c r="P100" s="5"/>
      <c r="V100" s="112" t="e">
        <f>#REF!</f>
        <v>#REF!</v>
      </c>
    </row>
    <row r="101" spans="2:22" s="8" customFormat="1" ht="16.5" hidden="1">
      <c r="B101" s="37"/>
      <c r="C101" s="37"/>
      <c r="D101" s="38"/>
      <c r="E101" s="38"/>
      <c r="F101" s="39"/>
      <c r="K101" s="5"/>
      <c r="L101" s="5"/>
      <c r="M101" s="5"/>
      <c r="N101" s="5"/>
      <c r="O101" s="5"/>
      <c r="P101" s="5"/>
      <c r="V101" s="112" t="e">
        <f>#REF!</f>
        <v>#REF!</v>
      </c>
    </row>
    <row r="102" spans="2:22" s="8" customFormat="1" ht="16.5" hidden="1">
      <c r="B102" s="37"/>
      <c r="C102" s="37"/>
      <c r="D102" s="38"/>
      <c r="E102" s="38"/>
      <c r="F102" s="39"/>
      <c r="K102" s="5"/>
      <c r="L102" s="5"/>
      <c r="M102" s="5"/>
      <c r="N102" s="5"/>
      <c r="O102" s="5"/>
      <c r="P102" s="5"/>
      <c r="V102" s="112" t="e">
        <f>#REF!</f>
        <v>#REF!</v>
      </c>
    </row>
    <row r="103" spans="2:22" s="8" customFormat="1" ht="16.5" hidden="1">
      <c r="B103" s="37"/>
      <c r="C103" s="37"/>
      <c r="D103" s="38"/>
      <c r="E103" s="38"/>
      <c r="F103" s="39"/>
      <c r="K103" s="5"/>
      <c r="L103" s="5"/>
      <c r="M103" s="5"/>
      <c r="N103" s="5"/>
      <c r="O103" s="5"/>
      <c r="P103" s="5"/>
      <c r="V103" s="112" t="e">
        <f>#REF!</f>
        <v>#REF!</v>
      </c>
    </row>
    <row r="104" spans="2:22" s="8" customFormat="1" ht="16.5" hidden="1">
      <c r="B104" s="37"/>
      <c r="C104" s="37"/>
      <c r="D104" s="38"/>
      <c r="E104" s="38"/>
      <c r="F104" s="39"/>
      <c r="K104" s="5"/>
      <c r="L104" s="5"/>
      <c r="M104" s="5"/>
      <c r="N104" s="5"/>
      <c r="O104" s="5"/>
      <c r="P104" s="5"/>
      <c r="V104" s="112" t="e">
        <f>#REF!</f>
        <v>#REF!</v>
      </c>
    </row>
    <row r="105" spans="2:22" s="8" customFormat="1" ht="16.5" hidden="1">
      <c r="B105" s="37"/>
      <c r="C105" s="37"/>
      <c r="D105" s="38"/>
      <c r="E105" s="38"/>
      <c r="F105" s="39"/>
      <c r="K105" s="5"/>
      <c r="L105" s="5"/>
      <c r="M105" s="5"/>
      <c r="N105" s="5"/>
      <c r="O105" s="5"/>
      <c r="P105" s="5"/>
      <c r="V105" s="112" t="e">
        <f>#REF!</f>
        <v>#REF!</v>
      </c>
    </row>
    <row r="106" spans="2:22" s="8" customFormat="1" ht="16.5" hidden="1">
      <c r="B106" s="37"/>
      <c r="C106" s="37"/>
      <c r="D106" s="38"/>
      <c r="E106" s="38"/>
      <c r="F106" s="39"/>
      <c r="K106" s="5"/>
      <c r="L106" s="5"/>
      <c r="M106" s="5"/>
      <c r="N106" s="5"/>
      <c r="O106" s="5"/>
      <c r="P106" s="5"/>
      <c r="V106" s="112" t="e">
        <f>#REF!</f>
        <v>#REF!</v>
      </c>
    </row>
    <row r="107" spans="2:22" s="8" customFormat="1" ht="16.5" hidden="1">
      <c r="B107" s="37"/>
      <c r="C107" s="37"/>
      <c r="D107" s="38"/>
      <c r="E107" s="38"/>
      <c r="F107" s="39"/>
      <c r="K107" s="5"/>
      <c r="L107" s="5"/>
      <c r="M107" s="5"/>
      <c r="N107" s="5"/>
      <c r="O107" s="5"/>
      <c r="P107" s="5"/>
      <c r="V107" s="112" t="e">
        <f>#REF!</f>
        <v>#REF!</v>
      </c>
    </row>
    <row r="108" spans="2:22" s="8" customFormat="1" ht="16.5" hidden="1">
      <c r="B108" s="37"/>
      <c r="C108" s="37"/>
      <c r="D108" s="38"/>
      <c r="E108" s="38"/>
      <c r="F108" s="39"/>
      <c r="K108" s="5"/>
      <c r="L108" s="5"/>
      <c r="M108" s="5"/>
      <c r="N108" s="5"/>
      <c r="O108" s="5"/>
      <c r="P108" s="5"/>
      <c r="V108" s="112" t="e">
        <f>#REF!</f>
        <v>#REF!</v>
      </c>
    </row>
    <row r="109" spans="2:22" s="8" customFormat="1" ht="16.5" hidden="1">
      <c r="B109" s="37"/>
      <c r="C109" s="37"/>
      <c r="D109" s="38"/>
      <c r="E109" s="38"/>
      <c r="F109" s="39"/>
      <c r="K109" s="5"/>
      <c r="L109" s="5"/>
      <c r="M109" s="5"/>
      <c r="N109" s="5"/>
      <c r="O109" s="5"/>
      <c r="P109" s="5"/>
      <c r="V109" s="112" t="e">
        <f>#REF!</f>
        <v>#REF!</v>
      </c>
    </row>
    <row r="110" spans="2:22" s="8" customFormat="1" ht="16.5" hidden="1">
      <c r="B110" s="37"/>
      <c r="C110" s="37"/>
      <c r="D110" s="38"/>
      <c r="E110" s="38"/>
      <c r="F110" s="39"/>
      <c r="K110" s="5"/>
      <c r="L110" s="5"/>
      <c r="M110" s="5"/>
      <c r="N110" s="5"/>
      <c r="O110" s="5"/>
      <c r="P110" s="5"/>
      <c r="V110" s="112" t="e">
        <f>#REF!</f>
        <v>#REF!</v>
      </c>
    </row>
    <row r="111" spans="2:22" s="8" customFormat="1" ht="16.5" hidden="1">
      <c r="B111" s="37"/>
      <c r="C111" s="37"/>
      <c r="D111" s="38"/>
      <c r="E111" s="38"/>
      <c r="F111" s="39"/>
      <c r="K111" s="5"/>
      <c r="L111" s="5"/>
      <c r="M111" s="5"/>
      <c r="N111" s="5"/>
      <c r="O111" s="5"/>
      <c r="P111" s="5"/>
      <c r="V111" s="112" t="e">
        <f>#REF!</f>
        <v>#REF!</v>
      </c>
    </row>
    <row r="112" spans="2:22" s="8" customFormat="1" ht="16.5" hidden="1">
      <c r="B112" s="37"/>
      <c r="C112" s="37"/>
      <c r="D112" s="38"/>
      <c r="E112" s="38"/>
      <c r="F112" s="39"/>
      <c r="K112" s="5"/>
      <c r="L112" s="5"/>
      <c r="M112" s="5"/>
      <c r="N112" s="5"/>
      <c r="O112" s="5"/>
      <c r="P112" s="5"/>
      <c r="V112" s="112" t="e">
        <f>#REF!</f>
        <v>#REF!</v>
      </c>
    </row>
    <row r="113" spans="2:22" s="8" customFormat="1" ht="16.5" hidden="1">
      <c r="B113" s="37"/>
      <c r="C113" s="37"/>
      <c r="D113" s="38"/>
      <c r="E113" s="38"/>
      <c r="F113" s="39"/>
      <c r="K113" s="5"/>
      <c r="L113" s="5"/>
      <c r="M113" s="5"/>
      <c r="N113" s="5"/>
      <c r="O113" s="5"/>
      <c r="P113" s="5"/>
      <c r="V113" s="112" t="e">
        <f>#REF!</f>
        <v>#REF!</v>
      </c>
    </row>
    <row r="114" spans="2:22" s="8" customFormat="1" ht="16.5" hidden="1">
      <c r="B114" s="37"/>
      <c r="C114" s="37"/>
      <c r="D114" s="38"/>
      <c r="E114" s="38"/>
      <c r="F114" s="39"/>
      <c r="K114" s="5"/>
      <c r="L114" s="5"/>
      <c r="M114" s="5"/>
      <c r="N114" s="5"/>
      <c r="O114" s="5"/>
      <c r="P114" s="5"/>
      <c r="V114" s="112" t="e">
        <f>#REF!</f>
        <v>#REF!</v>
      </c>
    </row>
    <row r="115" spans="2:22" s="8" customFormat="1" ht="16.5" hidden="1">
      <c r="B115" s="37"/>
      <c r="C115" s="37"/>
      <c r="D115" s="38"/>
      <c r="E115" s="38"/>
      <c r="F115" s="39"/>
      <c r="K115" s="5"/>
      <c r="L115" s="5"/>
      <c r="M115" s="5"/>
      <c r="N115" s="5"/>
      <c r="O115" s="5"/>
      <c r="P115" s="5"/>
      <c r="V115" s="112" t="e">
        <f>#REF!</f>
        <v>#REF!</v>
      </c>
    </row>
    <row r="116" spans="2:22" s="8" customFormat="1" ht="16.5" hidden="1">
      <c r="B116" s="37"/>
      <c r="C116" s="37"/>
      <c r="D116" s="38"/>
      <c r="E116" s="38"/>
      <c r="F116" s="39"/>
      <c r="K116" s="5"/>
      <c r="L116" s="5"/>
      <c r="M116" s="5"/>
      <c r="N116" s="5"/>
      <c r="O116" s="5"/>
      <c r="P116" s="5"/>
      <c r="V116" s="112" t="e">
        <f>#REF!</f>
        <v>#REF!</v>
      </c>
    </row>
    <row r="117" spans="2:22" s="8" customFormat="1" ht="16.5" hidden="1">
      <c r="B117" s="37"/>
      <c r="C117" s="37"/>
      <c r="D117" s="38"/>
      <c r="E117" s="38"/>
      <c r="F117" s="39"/>
      <c r="K117" s="5"/>
      <c r="L117" s="5"/>
      <c r="M117" s="5"/>
      <c r="N117" s="5"/>
      <c r="O117" s="5"/>
      <c r="P117" s="5"/>
      <c r="V117" s="112" t="e">
        <f>#REF!</f>
        <v>#REF!</v>
      </c>
    </row>
    <row r="118" spans="2:22" s="8" customFormat="1" ht="16.5" hidden="1">
      <c r="B118" s="37"/>
      <c r="C118" s="37"/>
      <c r="D118" s="38"/>
      <c r="E118" s="38"/>
      <c r="F118" s="39"/>
      <c r="K118" s="5"/>
      <c r="L118" s="5"/>
      <c r="M118" s="5"/>
      <c r="N118" s="5"/>
      <c r="O118" s="5"/>
      <c r="P118" s="5"/>
      <c r="V118" s="112" t="e">
        <f>#REF!</f>
        <v>#REF!</v>
      </c>
    </row>
    <row r="119" spans="2:22" s="8" customFormat="1" ht="16.5" hidden="1">
      <c r="B119" s="37"/>
      <c r="C119" s="37"/>
      <c r="D119" s="38"/>
      <c r="E119" s="38"/>
      <c r="F119" s="39"/>
      <c r="K119" s="5"/>
      <c r="L119" s="5"/>
      <c r="M119" s="5"/>
      <c r="N119" s="5"/>
      <c r="O119" s="5"/>
      <c r="P119" s="5"/>
      <c r="V119" s="112" t="e">
        <f>#REF!</f>
        <v>#REF!</v>
      </c>
    </row>
    <row r="120" spans="2:22" s="8" customFormat="1" ht="16.5" hidden="1">
      <c r="B120" s="37"/>
      <c r="C120" s="37"/>
      <c r="D120" s="38"/>
      <c r="E120" s="38"/>
      <c r="F120" s="39"/>
      <c r="K120" s="5"/>
      <c r="L120" s="5"/>
      <c r="M120" s="5"/>
      <c r="N120" s="5"/>
      <c r="O120" s="5"/>
      <c r="P120" s="5"/>
      <c r="V120" s="112" t="e">
        <f>#REF!</f>
        <v>#REF!</v>
      </c>
    </row>
    <row r="121" spans="2:22" s="8" customFormat="1" ht="16.5" hidden="1">
      <c r="B121" s="37"/>
      <c r="C121" s="37"/>
      <c r="D121" s="38"/>
      <c r="E121" s="38"/>
      <c r="F121" s="39"/>
      <c r="K121" s="5"/>
      <c r="L121" s="5"/>
      <c r="M121" s="5"/>
      <c r="N121" s="5"/>
      <c r="O121" s="5"/>
      <c r="P121" s="5"/>
      <c r="V121" s="112" t="e">
        <f>#REF!</f>
        <v>#REF!</v>
      </c>
    </row>
    <row r="122" spans="2:22" s="8" customFormat="1" ht="16.5" hidden="1">
      <c r="B122" s="37"/>
      <c r="C122" s="37"/>
      <c r="D122" s="38"/>
      <c r="E122" s="38"/>
      <c r="F122" s="39"/>
      <c r="K122" s="5"/>
      <c r="L122" s="5"/>
      <c r="M122" s="5"/>
      <c r="N122" s="5"/>
      <c r="O122" s="5"/>
      <c r="P122" s="5"/>
      <c r="V122" s="112" t="e">
        <f>#REF!</f>
        <v>#REF!</v>
      </c>
    </row>
    <row r="123" spans="2:22" s="8" customFormat="1" ht="16.5" hidden="1">
      <c r="B123" s="37"/>
      <c r="C123" s="37"/>
      <c r="D123" s="38"/>
      <c r="E123" s="38"/>
      <c r="F123" s="39"/>
      <c r="K123" s="5"/>
      <c r="L123" s="5"/>
      <c r="M123" s="5"/>
      <c r="N123" s="5"/>
      <c r="O123" s="5"/>
      <c r="P123" s="5"/>
      <c r="V123" s="112" t="e">
        <f>#REF!</f>
        <v>#REF!</v>
      </c>
    </row>
    <row r="124" spans="2:22" s="8" customFormat="1" ht="16.5" hidden="1">
      <c r="B124" s="37"/>
      <c r="C124" s="37"/>
      <c r="D124" s="38"/>
      <c r="E124" s="38"/>
      <c r="F124" s="39"/>
      <c r="K124" s="5"/>
      <c r="L124" s="5"/>
      <c r="M124" s="5"/>
      <c r="N124" s="5"/>
      <c r="O124" s="5"/>
      <c r="P124" s="5"/>
      <c r="V124" s="112" t="e">
        <f>#REF!</f>
        <v>#REF!</v>
      </c>
    </row>
    <row r="125" spans="2:22" s="8" customFormat="1" ht="16.5" hidden="1">
      <c r="B125" s="37"/>
      <c r="C125" s="37"/>
      <c r="D125" s="38"/>
      <c r="E125" s="38"/>
      <c r="F125" s="39"/>
      <c r="K125" s="5"/>
      <c r="L125" s="5"/>
      <c r="M125" s="5"/>
      <c r="N125" s="5"/>
      <c r="O125" s="5"/>
      <c r="P125" s="5"/>
      <c r="V125" s="112" t="e">
        <f>#REF!</f>
        <v>#REF!</v>
      </c>
    </row>
    <row r="126" spans="2:22" s="8" customFormat="1" ht="16.5" hidden="1">
      <c r="B126" s="37"/>
      <c r="C126" s="37"/>
      <c r="D126" s="38"/>
      <c r="E126" s="38"/>
      <c r="F126" s="39"/>
      <c r="K126" s="5"/>
      <c r="L126" s="5"/>
      <c r="M126" s="5"/>
      <c r="N126" s="5"/>
      <c r="O126" s="5"/>
      <c r="P126" s="5"/>
      <c r="V126" s="112" t="e">
        <f>#REF!</f>
        <v>#REF!</v>
      </c>
    </row>
    <row r="127" spans="2:22" s="8" customFormat="1" ht="16.5" hidden="1">
      <c r="B127" s="37"/>
      <c r="C127" s="37"/>
      <c r="D127" s="38"/>
      <c r="E127" s="38"/>
      <c r="F127" s="39"/>
      <c r="K127" s="5"/>
      <c r="L127" s="5"/>
      <c r="M127" s="5"/>
      <c r="N127" s="5"/>
      <c r="O127" s="5"/>
      <c r="P127" s="5"/>
      <c r="V127" s="112" t="e">
        <f>#REF!</f>
        <v>#REF!</v>
      </c>
    </row>
    <row r="128" spans="2:22" s="8" customFormat="1" ht="16.5" hidden="1">
      <c r="B128" s="37"/>
      <c r="C128" s="37"/>
      <c r="D128" s="38"/>
      <c r="E128" s="38"/>
      <c r="F128" s="39"/>
      <c r="K128" s="5"/>
      <c r="L128" s="5"/>
      <c r="M128" s="5"/>
      <c r="N128" s="5"/>
      <c r="O128" s="5"/>
      <c r="P128" s="5"/>
      <c r="V128" s="112" t="e">
        <f>#REF!</f>
        <v>#REF!</v>
      </c>
    </row>
    <row r="129" spans="2:22" s="8" customFormat="1" ht="16.5" hidden="1">
      <c r="B129" s="37"/>
      <c r="C129" s="37"/>
      <c r="D129" s="38"/>
      <c r="E129" s="38"/>
      <c r="F129" s="39"/>
      <c r="K129" s="5"/>
      <c r="L129" s="5"/>
      <c r="M129" s="5"/>
      <c r="N129" s="5"/>
      <c r="O129" s="5"/>
      <c r="P129" s="5"/>
      <c r="V129" s="112" t="e">
        <f>#REF!</f>
        <v>#REF!</v>
      </c>
    </row>
    <row r="130" spans="2:22" s="8" customFormat="1" ht="16.5" hidden="1">
      <c r="B130" s="37"/>
      <c r="C130" s="37"/>
      <c r="D130" s="38"/>
      <c r="E130" s="38"/>
      <c r="F130" s="39"/>
      <c r="K130" s="5"/>
      <c r="L130" s="5"/>
      <c r="M130" s="5"/>
      <c r="N130" s="5"/>
      <c r="O130" s="5"/>
      <c r="P130" s="5"/>
      <c r="V130" s="112" t="e">
        <f>#REF!</f>
        <v>#REF!</v>
      </c>
    </row>
    <row r="131" spans="2:22" s="8" customFormat="1" ht="16.5" hidden="1">
      <c r="B131" s="37"/>
      <c r="C131" s="37"/>
      <c r="D131" s="38"/>
      <c r="E131" s="38"/>
      <c r="F131" s="39"/>
      <c r="K131" s="5"/>
      <c r="L131" s="5"/>
      <c r="M131" s="5"/>
      <c r="N131" s="5"/>
      <c r="O131" s="5"/>
      <c r="P131" s="5"/>
      <c r="V131" s="112" t="e">
        <f>#REF!</f>
        <v>#REF!</v>
      </c>
    </row>
    <row r="132" spans="2:22" s="8" customFormat="1" ht="16.5" hidden="1">
      <c r="B132" s="37"/>
      <c r="C132" s="37"/>
      <c r="D132" s="38"/>
      <c r="E132" s="38"/>
      <c r="F132" s="39"/>
      <c r="K132" s="5"/>
      <c r="L132" s="5"/>
      <c r="M132" s="5"/>
      <c r="N132" s="5"/>
      <c r="O132" s="5"/>
      <c r="P132" s="5"/>
      <c r="V132" s="112" t="e">
        <f>#REF!</f>
        <v>#REF!</v>
      </c>
    </row>
    <row r="133" spans="2:22" s="8" customFormat="1" ht="16.5" hidden="1">
      <c r="B133" s="37"/>
      <c r="C133" s="37"/>
      <c r="D133" s="38"/>
      <c r="E133" s="38"/>
      <c r="F133" s="39"/>
      <c r="K133" s="5"/>
      <c r="L133" s="5"/>
      <c r="M133" s="5"/>
      <c r="N133" s="5"/>
      <c r="O133" s="5"/>
      <c r="P133" s="5"/>
      <c r="V133" s="112" t="e">
        <f>#REF!</f>
        <v>#REF!</v>
      </c>
    </row>
    <row r="134" spans="2:22" s="8" customFormat="1" ht="16.5" hidden="1">
      <c r="B134" s="37"/>
      <c r="C134" s="37"/>
      <c r="D134" s="38"/>
      <c r="E134" s="38"/>
      <c r="F134" s="39"/>
      <c r="K134" s="5"/>
      <c r="L134" s="5"/>
      <c r="M134" s="5"/>
      <c r="N134" s="5"/>
      <c r="O134" s="5"/>
      <c r="P134" s="5"/>
      <c r="V134" s="112" t="e">
        <f>#REF!</f>
        <v>#REF!</v>
      </c>
    </row>
    <row r="135" spans="2:22" s="8" customFormat="1" ht="16.5" hidden="1">
      <c r="B135" s="37"/>
      <c r="C135" s="37"/>
      <c r="D135" s="38"/>
      <c r="E135" s="38"/>
      <c r="F135" s="39"/>
      <c r="K135" s="5"/>
      <c r="L135" s="5"/>
      <c r="M135" s="5"/>
      <c r="N135" s="5"/>
      <c r="O135" s="5"/>
      <c r="P135" s="5"/>
      <c r="V135" s="112" t="e">
        <f>#REF!</f>
        <v>#REF!</v>
      </c>
    </row>
    <row r="136" spans="2:22" s="8" customFormat="1" ht="16.5" hidden="1">
      <c r="B136" s="37"/>
      <c r="C136" s="37"/>
      <c r="D136" s="38"/>
      <c r="E136" s="38"/>
      <c r="F136" s="39"/>
      <c r="K136" s="5"/>
      <c r="L136" s="5"/>
      <c r="M136" s="5"/>
      <c r="N136" s="5"/>
      <c r="O136" s="5"/>
      <c r="P136" s="5"/>
      <c r="V136" s="112" t="e">
        <f>#REF!</f>
        <v>#REF!</v>
      </c>
    </row>
    <row r="137" spans="2:22" s="8" customFormat="1" ht="16.5" hidden="1">
      <c r="B137" s="37"/>
      <c r="C137" s="37"/>
      <c r="D137" s="38"/>
      <c r="E137" s="38"/>
      <c r="F137" s="39"/>
      <c r="K137" s="5"/>
      <c r="L137" s="5"/>
      <c r="M137" s="5"/>
      <c r="N137" s="5"/>
      <c r="O137" s="5"/>
      <c r="P137" s="5"/>
      <c r="V137" s="112" t="e">
        <f>#REF!</f>
        <v>#REF!</v>
      </c>
    </row>
    <row r="138" spans="2:22" s="8" customFormat="1" ht="16.5" hidden="1">
      <c r="B138" s="37"/>
      <c r="C138" s="37"/>
      <c r="D138" s="38"/>
      <c r="E138" s="38"/>
      <c r="F138" s="39"/>
      <c r="K138" s="5"/>
      <c r="L138" s="5"/>
      <c r="M138" s="5"/>
      <c r="N138" s="5"/>
      <c r="O138" s="5"/>
      <c r="P138" s="5"/>
      <c r="V138" s="112" t="e">
        <f>#REF!</f>
        <v>#REF!</v>
      </c>
    </row>
    <row r="139" spans="2:22" s="8" customFormat="1" ht="16.5" hidden="1">
      <c r="B139" s="37"/>
      <c r="C139" s="37"/>
      <c r="D139" s="38"/>
      <c r="E139" s="38"/>
      <c r="F139" s="39"/>
      <c r="K139" s="5"/>
      <c r="L139" s="5"/>
      <c r="M139" s="5"/>
      <c r="N139" s="5"/>
      <c r="O139" s="5"/>
      <c r="P139" s="5"/>
      <c r="V139" s="112" t="e">
        <f>#REF!</f>
        <v>#REF!</v>
      </c>
    </row>
    <row r="140" spans="2:22" s="8" customFormat="1" ht="16.5" hidden="1">
      <c r="B140" s="37"/>
      <c r="C140" s="37"/>
      <c r="D140" s="38"/>
      <c r="E140" s="38"/>
      <c r="F140" s="39"/>
      <c r="K140" s="5"/>
      <c r="L140" s="5"/>
      <c r="M140" s="5"/>
      <c r="N140" s="5"/>
      <c r="O140" s="5"/>
      <c r="P140" s="5"/>
      <c r="V140" s="112" t="e">
        <f>#REF!</f>
        <v>#REF!</v>
      </c>
    </row>
    <row r="141" spans="2:22" s="8" customFormat="1" ht="16.5" hidden="1">
      <c r="B141" s="37"/>
      <c r="C141" s="37"/>
      <c r="D141" s="38"/>
      <c r="E141" s="38"/>
      <c r="F141" s="39"/>
      <c r="K141" s="5"/>
      <c r="L141" s="5"/>
      <c r="M141" s="5"/>
      <c r="N141" s="5"/>
      <c r="O141" s="5"/>
      <c r="P141" s="5"/>
      <c r="V141" s="112" t="e">
        <f>#REF!</f>
        <v>#REF!</v>
      </c>
    </row>
    <row r="142" spans="2:22" s="8" customFormat="1" ht="16.5" hidden="1">
      <c r="B142" s="37"/>
      <c r="C142" s="37"/>
      <c r="D142" s="38"/>
      <c r="E142" s="38"/>
      <c r="F142" s="39"/>
      <c r="K142" s="5"/>
      <c r="L142" s="5"/>
      <c r="M142" s="5"/>
      <c r="N142" s="5"/>
      <c r="O142" s="5"/>
      <c r="P142" s="5"/>
      <c r="V142" s="112" t="e">
        <f>#REF!</f>
        <v>#REF!</v>
      </c>
    </row>
    <row r="143" spans="2:22" s="8" customFormat="1" ht="16.5" hidden="1">
      <c r="B143" s="37"/>
      <c r="C143" s="37"/>
      <c r="D143" s="38"/>
      <c r="E143" s="38"/>
      <c r="F143" s="39"/>
      <c r="K143" s="5"/>
      <c r="L143" s="5"/>
      <c r="M143" s="5"/>
      <c r="N143" s="5"/>
      <c r="O143" s="5"/>
      <c r="P143" s="5"/>
      <c r="V143" s="112" t="e">
        <f>#REF!</f>
        <v>#REF!</v>
      </c>
    </row>
    <row r="144" spans="2:22" s="8" customFormat="1" ht="16.5" hidden="1">
      <c r="B144" s="37"/>
      <c r="C144" s="37"/>
      <c r="D144" s="38"/>
      <c r="E144" s="38"/>
      <c r="F144" s="39"/>
      <c r="K144" s="5"/>
      <c r="L144" s="5"/>
      <c r="M144" s="5"/>
      <c r="N144" s="5"/>
      <c r="O144" s="5"/>
      <c r="P144" s="5"/>
      <c r="V144" s="112" t="e">
        <f>#REF!</f>
        <v>#REF!</v>
      </c>
    </row>
    <row r="145" spans="2:22" s="8" customFormat="1" ht="16.5" hidden="1">
      <c r="B145" s="37"/>
      <c r="C145" s="37"/>
      <c r="D145" s="38"/>
      <c r="E145" s="38"/>
      <c r="F145" s="39"/>
      <c r="K145" s="5"/>
      <c r="L145" s="5"/>
      <c r="M145" s="5"/>
      <c r="N145" s="5"/>
      <c r="O145" s="5"/>
      <c r="P145" s="5"/>
      <c r="V145" s="112" t="e">
        <f>#REF!</f>
        <v>#REF!</v>
      </c>
    </row>
    <row r="146" spans="2:22" s="8" customFormat="1" ht="16.5" hidden="1">
      <c r="B146" s="37"/>
      <c r="C146" s="37"/>
      <c r="D146" s="38"/>
      <c r="E146" s="38"/>
      <c r="F146" s="39"/>
      <c r="K146" s="5"/>
      <c r="L146" s="5"/>
      <c r="M146" s="5"/>
      <c r="N146" s="5"/>
      <c r="O146" s="5"/>
      <c r="P146" s="5"/>
      <c r="V146" s="112" t="e">
        <f>#REF!</f>
        <v>#REF!</v>
      </c>
    </row>
    <row r="147" spans="2:22" s="8" customFormat="1" ht="16.5" hidden="1">
      <c r="B147" s="37"/>
      <c r="C147" s="37"/>
      <c r="D147" s="38"/>
      <c r="E147" s="38"/>
      <c r="F147" s="39"/>
      <c r="K147" s="5"/>
      <c r="L147" s="5"/>
      <c r="M147" s="5"/>
      <c r="N147" s="5"/>
      <c r="O147" s="5"/>
      <c r="P147" s="5"/>
      <c r="V147" s="112" t="e">
        <f>#REF!</f>
        <v>#REF!</v>
      </c>
    </row>
    <row r="148" spans="2:22" s="8" customFormat="1" ht="16.5" hidden="1">
      <c r="B148" s="37"/>
      <c r="C148" s="37"/>
      <c r="D148" s="38"/>
      <c r="E148" s="38"/>
      <c r="F148" s="39"/>
      <c r="K148" s="5"/>
      <c r="L148" s="5"/>
      <c r="M148" s="5"/>
      <c r="N148" s="5"/>
      <c r="O148" s="5"/>
      <c r="P148" s="5"/>
      <c r="V148" s="112" t="e">
        <f>#REF!</f>
        <v>#REF!</v>
      </c>
    </row>
    <row r="149" spans="2:22" s="8" customFormat="1" ht="16.5" hidden="1">
      <c r="B149" s="37"/>
      <c r="C149" s="37"/>
      <c r="D149" s="38"/>
      <c r="E149" s="38"/>
      <c r="F149" s="39"/>
      <c r="K149" s="5"/>
      <c r="L149" s="5"/>
      <c r="M149" s="5"/>
      <c r="N149" s="5"/>
      <c r="O149" s="5"/>
      <c r="P149" s="5"/>
      <c r="V149" s="112" t="e">
        <f>#REF!</f>
        <v>#REF!</v>
      </c>
    </row>
    <row r="150" spans="2:22" s="8" customFormat="1" ht="16.5" hidden="1">
      <c r="B150" s="37"/>
      <c r="C150" s="37"/>
      <c r="D150" s="38"/>
      <c r="E150" s="38"/>
      <c r="F150" s="39"/>
      <c r="K150" s="5"/>
      <c r="L150" s="5"/>
      <c r="M150" s="5"/>
      <c r="N150" s="5"/>
      <c r="O150" s="5"/>
      <c r="P150" s="5"/>
      <c r="V150" s="112" t="e">
        <f>#REF!</f>
        <v>#REF!</v>
      </c>
    </row>
    <row r="151" spans="2:22" s="8" customFormat="1" ht="16.5" hidden="1">
      <c r="B151" s="37"/>
      <c r="C151" s="37"/>
      <c r="D151" s="38"/>
      <c r="E151" s="38"/>
      <c r="F151" s="39"/>
      <c r="K151" s="5"/>
      <c r="L151" s="5"/>
      <c r="M151" s="5"/>
      <c r="N151" s="5"/>
      <c r="O151" s="5"/>
      <c r="P151" s="5"/>
      <c r="V151" s="112" t="e">
        <f>#REF!</f>
        <v>#REF!</v>
      </c>
    </row>
    <row r="152" spans="2:22" s="8" customFormat="1" ht="16.5" hidden="1">
      <c r="B152" s="37"/>
      <c r="C152" s="37"/>
      <c r="D152" s="38"/>
      <c r="E152" s="38"/>
      <c r="F152" s="39"/>
      <c r="K152" s="5"/>
      <c r="L152" s="5"/>
      <c r="M152" s="5"/>
      <c r="N152" s="5"/>
      <c r="O152" s="5"/>
      <c r="P152" s="5"/>
      <c r="V152" s="112" t="e">
        <f>#REF!</f>
        <v>#REF!</v>
      </c>
    </row>
    <row r="153" spans="2:22" s="8" customFormat="1" ht="16.5" hidden="1">
      <c r="B153" s="37"/>
      <c r="C153" s="37"/>
      <c r="D153" s="38"/>
      <c r="E153" s="38"/>
      <c r="F153" s="39"/>
      <c r="K153" s="5"/>
      <c r="L153" s="5"/>
      <c r="M153" s="5"/>
      <c r="N153" s="5"/>
      <c r="O153" s="5"/>
      <c r="P153" s="5"/>
      <c r="V153" s="112" t="e">
        <f>#REF!</f>
        <v>#REF!</v>
      </c>
    </row>
    <row r="154" spans="2:22" s="8" customFormat="1" ht="16.5" hidden="1">
      <c r="B154" s="37"/>
      <c r="C154" s="37"/>
      <c r="D154" s="38"/>
      <c r="E154" s="38"/>
      <c r="F154" s="39"/>
      <c r="K154" s="5"/>
      <c r="L154" s="5"/>
      <c r="M154" s="5"/>
      <c r="N154" s="5"/>
      <c r="O154" s="5"/>
      <c r="P154" s="5"/>
      <c r="V154" s="112" t="e">
        <f>#REF!</f>
        <v>#REF!</v>
      </c>
    </row>
    <row r="155" spans="2:22" s="8" customFormat="1" ht="16.5" hidden="1">
      <c r="B155" s="37"/>
      <c r="C155" s="37"/>
      <c r="D155" s="38"/>
      <c r="E155" s="38"/>
      <c r="F155" s="39"/>
      <c r="K155" s="5"/>
      <c r="L155" s="5"/>
      <c r="M155" s="5"/>
      <c r="N155" s="5"/>
      <c r="O155" s="5"/>
      <c r="P155" s="5"/>
      <c r="V155" s="112" t="e">
        <f>#REF!</f>
        <v>#REF!</v>
      </c>
    </row>
    <row r="156" spans="2:22" s="8" customFormat="1" ht="16.5" hidden="1">
      <c r="B156" s="37"/>
      <c r="C156" s="37"/>
      <c r="D156" s="38"/>
      <c r="E156" s="38"/>
      <c r="F156" s="39"/>
      <c r="K156" s="5"/>
      <c r="L156" s="5"/>
      <c r="M156" s="5"/>
      <c r="N156" s="5"/>
      <c r="O156" s="5"/>
      <c r="P156" s="5"/>
      <c r="V156" s="112" t="e">
        <f>#REF!</f>
        <v>#REF!</v>
      </c>
    </row>
    <row r="157" spans="2:22" s="8" customFormat="1" ht="16.5" hidden="1">
      <c r="B157" s="37"/>
      <c r="C157" s="37"/>
      <c r="D157" s="38"/>
      <c r="E157" s="38"/>
      <c r="F157" s="39"/>
      <c r="K157" s="5"/>
      <c r="L157" s="5"/>
      <c r="M157" s="5"/>
      <c r="N157" s="5"/>
      <c r="O157" s="5"/>
      <c r="P157" s="5"/>
      <c r="V157" s="112" t="e">
        <f>#REF!</f>
        <v>#REF!</v>
      </c>
    </row>
    <row r="158" spans="2:22" s="8" customFormat="1" ht="16.5" hidden="1">
      <c r="B158" s="37"/>
      <c r="C158" s="37"/>
      <c r="D158" s="38"/>
      <c r="E158" s="38"/>
      <c r="F158" s="39"/>
      <c r="K158" s="5"/>
      <c r="L158" s="5"/>
      <c r="M158" s="5"/>
      <c r="N158" s="5"/>
      <c r="O158" s="5"/>
      <c r="P158" s="5"/>
      <c r="V158" s="112" t="e">
        <f>#REF!</f>
        <v>#REF!</v>
      </c>
    </row>
    <row r="159" spans="2:22" s="8" customFormat="1" ht="16.5" hidden="1">
      <c r="B159" s="37"/>
      <c r="C159" s="37"/>
      <c r="D159" s="38"/>
      <c r="E159" s="38"/>
      <c r="F159" s="39"/>
      <c r="K159" s="5"/>
      <c r="L159" s="5"/>
      <c r="M159" s="5"/>
      <c r="N159" s="5"/>
      <c r="O159" s="5"/>
      <c r="P159" s="5"/>
      <c r="V159" s="112" t="e">
        <f>#REF!</f>
        <v>#REF!</v>
      </c>
    </row>
    <row r="160" spans="2:22" s="8" customFormat="1" ht="16.5" hidden="1">
      <c r="B160" s="37"/>
      <c r="C160" s="37"/>
      <c r="D160" s="38"/>
      <c r="E160" s="38"/>
      <c r="F160" s="39"/>
      <c r="K160" s="5"/>
      <c r="L160" s="5"/>
      <c r="M160" s="5"/>
      <c r="N160" s="5"/>
      <c r="O160" s="5"/>
      <c r="P160" s="5"/>
      <c r="V160" s="112" t="e">
        <f>#REF!</f>
        <v>#REF!</v>
      </c>
    </row>
    <row r="161" spans="2:22" s="8" customFormat="1" ht="16.5" hidden="1">
      <c r="B161" s="37"/>
      <c r="C161" s="37"/>
      <c r="D161" s="38"/>
      <c r="E161" s="38"/>
      <c r="F161" s="39"/>
      <c r="K161" s="5"/>
      <c r="L161" s="5"/>
      <c r="M161" s="5"/>
      <c r="N161" s="5"/>
      <c r="O161" s="5"/>
      <c r="P161" s="5"/>
      <c r="V161" s="112" t="e">
        <f>#REF!</f>
        <v>#REF!</v>
      </c>
    </row>
    <row r="162" spans="2:22" s="8" customFormat="1" ht="16.5" hidden="1">
      <c r="B162" s="37"/>
      <c r="C162" s="37"/>
      <c r="D162" s="38"/>
      <c r="E162" s="38"/>
      <c r="F162" s="39"/>
      <c r="K162" s="5"/>
      <c r="L162" s="5"/>
      <c r="M162" s="5"/>
      <c r="N162" s="5"/>
      <c r="O162" s="5"/>
      <c r="P162" s="5"/>
      <c r="V162" s="112" t="e">
        <f>#REF!</f>
        <v>#REF!</v>
      </c>
    </row>
    <row r="163" spans="2:22" s="8" customFormat="1" ht="16.5" hidden="1">
      <c r="B163" s="37"/>
      <c r="C163" s="37"/>
      <c r="D163" s="38"/>
      <c r="E163" s="38"/>
      <c r="F163" s="39"/>
      <c r="K163" s="5"/>
      <c r="L163" s="5"/>
      <c r="M163" s="5"/>
      <c r="N163" s="5"/>
      <c r="O163" s="5"/>
      <c r="P163" s="5"/>
      <c r="V163" s="112" t="e">
        <f>#REF!</f>
        <v>#REF!</v>
      </c>
    </row>
    <row r="164" spans="2:22" s="8" customFormat="1" ht="16.5" hidden="1">
      <c r="B164" s="37"/>
      <c r="C164" s="37"/>
      <c r="D164" s="38"/>
      <c r="E164" s="38"/>
      <c r="F164" s="39"/>
      <c r="K164" s="5"/>
      <c r="L164" s="5"/>
      <c r="M164" s="5"/>
      <c r="N164" s="5"/>
      <c r="O164" s="5"/>
      <c r="P164" s="5"/>
      <c r="V164" s="112" t="e">
        <f>#REF!</f>
        <v>#REF!</v>
      </c>
    </row>
    <row r="165" spans="2:22" s="8" customFormat="1" ht="16.5" hidden="1">
      <c r="B165" s="37"/>
      <c r="C165" s="37"/>
      <c r="D165" s="38"/>
      <c r="E165" s="38"/>
      <c r="F165" s="39"/>
      <c r="K165" s="5"/>
      <c r="L165" s="5"/>
      <c r="M165" s="5"/>
      <c r="N165" s="5"/>
      <c r="O165" s="5"/>
      <c r="P165" s="5"/>
      <c r="V165" s="112" t="e">
        <f>#REF!</f>
        <v>#REF!</v>
      </c>
    </row>
    <row r="166" spans="2:22" s="8" customFormat="1" ht="16.5" hidden="1">
      <c r="B166" s="37"/>
      <c r="C166" s="37"/>
      <c r="D166" s="38"/>
      <c r="E166" s="38"/>
      <c r="F166" s="39"/>
      <c r="K166" s="5"/>
      <c r="L166" s="5"/>
      <c r="M166" s="5"/>
      <c r="N166" s="5"/>
      <c r="O166" s="5"/>
      <c r="P166" s="5"/>
      <c r="V166" s="112" t="e">
        <f>#REF!</f>
        <v>#REF!</v>
      </c>
    </row>
    <row r="167" spans="2:22" s="8" customFormat="1" ht="16.5" hidden="1">
      <c r="B167" s="37"/>
      <c r="C167" s="37"/>
      <c r="D167" s="38"/>
      <c r="E167" s="38"/>
      <c r="F167" s="39"/>
      <c r="K167" s="5"/>
      <c r="L167" s="5"/>
      <c r="M167" s="5"/>
      <c r="N167" s="5"/>
      <c r="O167" s="5"/>
      <c r="P167" s="5"/>
      <c r="V167" s="112" t="e">
        <f>#REF!</f>
        <v>#REF!</v>
      </c>
    </row>
    <row r="168" spans="2:22" s="8" customFormat="1" ht="16.5" hidden="1">
      <c r="B168" s="37"/>
      <c r="C168" s="37"/>
      <c r="D168" s="38"/>
      <c r="E168" s="38"/>
      <c r="F168" s="39"/>
      <c r="K168" s="5"/>
      <c r="L168" s="5"/>
      <c r="M168" s="5"/>
      <c r="N168" s="5"/>
      <c r="O168" s="5"/>
      <c r="P168" s="5"/>
      <c r="V168" s="112" t="e">
        <f>#REF!</f>
        <v>#REF!</v>
      </c>
    </row>
    <row r="169" spans="2:22" s="8" customFormat="1" ht="16.5" hidden="1">
      <c r="B169" s="37"/>
      <c r="C169" s="37"/>
      <c r="D169" s="38"/>
      <c r="E169" s="38"/>
      <c r="F169" s="39"/>
      <c r="K169" s="5"/>
      <c r="L169" s="5"/>
      <c r="M169" s="5"/>
      <c r="N169" s="5"/>
      <c r="O169" s="5"/>
      <c r="P169" s="5"/>
      <c r="V169" s="112" t="e">
        <f>#REF!</f>
        <v>#REF!</v>
      </c>
    </row>
    <row r="170" spans="2:22" s="8" customFormat="1" ht="16.5" hidden="1">
      <c r="B170" s="37"/>
      <c r="C170" s="37"/>
      <c r="D170" s="38"/>
      <c r="E170" s="38"/>
      <c r="F170" s="39"/>
      <c r="K170" s="5"/>
      <c r="L170" s="5"/>
      <c r="M170" s="5"/>
      <c r="N170" s="5"/>
      <c r="O170" s="5"/>
      <c r="P170" s="5"/>
      <c r="V170" s="112" t="e">
        <f>#REF!</f>
        <v>#REF!</v>
      </c>
    </row>
    <row r="171" spans="2:22" s="8" customFormat="1" ht="16.5" hidden="1">
      <c r="B171" s="37"/>
      <c r="C171" s="37"/>
      <c r="D171" s="38"/>
      <c r="E171" s="38"/>
      <c r="F171" s="39"/>
      <c r="K171" s="5"/>
      <c r="L171" s="5"/>
      <c r="M171" s="5"/>
      <c r="N171" s="5"/>
      <c r="O171" s="5"/>
      <c r="P171" s="5"/>
      <c r="V171" s="112" t="e">
        <f>#REF!</f>
        <v>#REF!</v>
      </c>
    </row>
    <row r="172" spans="2:22" s="8" customFormat="1" ht="16.5" hidden="1">
      <c r="B172" s="37"/>
      <c r="C172" s="37"/>
      <c r="D172" s="38"/>
      <c r="E172" s="38"/>
      <c r="F172" s="39"/>
      <c r="K172" s="5"/>
      <c r="L172" s="5"/>
      <c r="M172" s="5"/>
      <c r="N172" s="5"/>
      <c r="O172" s="5"/>
      <c r="P172" s="5"/>
      <c r="V172" s="112" t="e">
        <f>#REF!</f>
        <v>#REF!</v>
      </c>
    </row>
    <row r="173" spans="2:22" s="8" customFormat="1" ht="16.5" hidden="1">
      <c r="B173" s="37"/>
      <c r="C173" s="37"/>
      <c r="D173" s="38"/>
      <c r="E173" s="38"/>
      <c r="F173" s="39"/>
      <c r="K173" s="5"/>
      <c r="L173" s="5"/>
      <c r="M173" s="5"/>
      <c r="N173" s="5"/>
      <c r="O173" s="5"/>
      <c r="P173" s="5"/>
      <c r="V173" s="112" t="e">
        <f>#REF!</f>
        <v>#REF!</v>
      </c>
    </row>
    <row r="174" spans="2:22" s="8" customFormat="1" ht="16.5" hidden="1">
      <c r="B174" s="37"/>
      <c r="C174" s="37"/>
      <c r="D174" s="38"/>
      <c r="E174" s="38"/>
      <c r="F174" s="39"/>
      <c r="K174" s="5"/>
      <c r="L174" s="5"/>
      <c r="M174" s="5"/>
      <c r="N174" s="5"/>
      <c r="O174" s="5"/>
      <c r="P174" s="5"/>
      <c r="V174" s="112" t="e">
        <f>#REF!</f>
        <v>#REF!</v>
      </c>
    </row>
    <row r="175" spans="2:22" s="8" customFormat="1" ht="16.5" hidden="1">
      <c r="B175" s="37"/>
      <c r="C175" s="37"/>
      <c r="D175" s="38"/>
      <c r="E175" s="38"/>
      <c r="F175" s="39"/>
      <c r="K175" s="5"/>
      <c r="L175" s="5"/>
      <c r="M175" s="5"/>
      <c r="N175" s="5"/>
      <c r="O175" s="5"/>
      <c r="P175" s="5"/>
      <c r="V175" s="112" t="e">
        <f>#REF!</f>
        <v>#REF!</v>
      </c>
    </row>
    <row r="176" spans="2:22" s="8" customFormat="1" ht="16.5" hidden="1">
      <c r="B176" s="37"/>
      <c r="C176" s="37"/>
      <c r="D176" s="38"/>
      <c r="E176" s="38"/>
      <c r="F176" s="39"/>
      <c r="K176" s="5"/>
      <c r="L176" s="5"/>
      <c r="M176" s="5"/>
      <c r="N176" s="5"/>
      <c r="O176" s="5"/>
      <c r="P176" s="5"/>
      <c r="V176" s="112" t="e">
        <f>#REF!</f>
        <v>#REF!</v>
      </c>
    </row>
    <row r="177" spans="2:22" s="8" customFormat="1" ht="16.5" hidden="1">
      <c r="B177" s="37"/>
      <c r="C177" s="37"/>
      <c r="D177" s="38"/>
      <c r="E177" s="38"/>
      <c r="F177" s="39"/>
      <c r="K177" s="5"/>
      <c r="L177" s="5"/>
      <c r="M177" s="5"/>
      <c r="N177" s="5"/>
      <c r="O177" s="5"/>
      <c r="P177" s="5"/>
      <c r="V177" s="112" t="e">
        <f>#REF!</f>
        <v>#REF!</v>
      </c>
    </row>
    <row r="178" spans="2:22" s="8" customFormat="1" ht="16.5" hidden="1">
      <c r="B178" s="37"/>
      <c r="C178" s="37"/>
      <c r="D178" s="38"/>
      <c r="E178" s="38"/>
      <c r="F178" s="39"/>
      <c r="K178" s="5"/>
      <c r="L178" s="5"/>
      <c r="M178" s="5"/>
      <c r="N178" s="5"/>
      <c r="O178" s="5"/>
      <c r="P178" s="5"/>
      <c r="V178" s="112" t="e">
        <f>#REF!</f>
        <v>#REF!</v>
      </c>
    </row>
    <row r="179" spans="2:22" s="8" customFormat="1" ht="16.5" hidden="1">
      <c r="B179" s="37"/>
      <c r="C179" s="37"/>
      <c r="D179" s="38"/>
      <c r="E179" s="38"/>
      <c r="F179" s="39"/>
      <c r="K179" s="5"/>
      <c r="L179" s="5"/>
      <c r="M179" s="5"/>
      <c r="N179" s="5"/>
      <c r="O179" s="5"/>
      <c r="P179" s="5"/>
      <c r="V179" s="112" t="e">
        <f>#REF!</f>
        <v>#REF!</v>
      </c>
    </row>
    <row r="180" spans="2:22" s="8" customFormat="1" ht="16.5" hidden="1">
      <c r="B180" s="37"/>
      <c r="C180" s="37"/>
      <c r="D180" s="38"/>
      <c r="E180" s="38"/>
      <c r="F180" s="39"/>
      <c r="K180" s="5"/>
      <c r="L180" s="5"/>
      <c r="M180" s="5"/>
      <c r="N180" s="5"/>
      <c r="O180" s="5"/>
      <c r="P180" s="5"/>
      <c r="V180" s="112" t="e">
        <f>#REF!</f>
        <v>#REF!</v>
      </c>
    </row>
    <row r="181" spans="2:22" s="8" customFormat="1" ht="16.5" hidden="1">
      <c r="B181" s="37"/>
      <c r="C181" s="37"/>
      <c r="D181" s="38"/>
      <c r="E181" s="38"/>
      <c r="F181" s="39"/>
      <c r="K181" s="5"/>
      <c r="L181" s="5"/>
      <c r="M181" s="5"/>
      <c r="N181" s="5"/>
      <c r="O181" s="5"/>
      <c r="P181" s="5"/>
      <c r="V181" s="112" t="e">
        <f>#REF!</f>
        <v>#REF!</v>
      </c>
    </row>
    <row r="182" spans="2:22" s="8" customFormat="1" ht="16.5" hidden="1">
      <c r="B182" s="37"/>
      <c r="C182" s="37"/>
      <c r="D182" s="38"/>
      <c r="E182" s="38"/>
      <c r="F182" s="39"/>
      <c r="K182" s="5"/>
      <c r="L182" s="5"/>
      <c r="M182" s="5"/>
      <c r="N182" s="5"/>
      <c r="O182" s="5"/>
      <c r="P182" s="5"/>
      <c r="V182" s="112"/>
    </row>
    <row r="183" spans="2:22" s="8" customFormat="1" ht="16.5" hidden="1">
      <c r="B183" s="37"/>
      <c r="C183" s="37"/>
      <c r="D183" s="38"/>
      <c r="E183" s="38"/>
      <c r="F183" s="39"/>
      <c r="K183" s="5"/>
      <c r="L183" s="5"/>
      <c r="M183" s="5"/>
      <c r="N183" s="5"/>
      <c r="O183" s="5"/>
      <c r="P183" s="5"/>
    </row>
    <row r="184" spans="2:22" s="8" customFormat="1" ht="16.5" hidden="1">
      <c r="B184" s="37"/>
      <c r="C184" s="37"/>
      <c r="D184" s="38"/>
      <c r="E184" s="38"/>
      <c r="F184" s="39"/>
      <c r="K184" s="5"/>
      <c r="L184" s="5"/>
      <c r="M184" s="5"/>
      <c r="N184" s="5"/>
      <c r="O184" s="5"/>
      <c r="P184" s="5"/>
    </row>
    <row r="185" spans="2:22" s="8" customFormat="1" ht="16.5" hidden="1">
      <c r="B185" s="37"/>
      <c r="C185" s="37"/>
      <c r="D185" s="38"/>
      <c r="E185" s="38"/>
      <c r="F185" s="39"/>
      <c r="K185" s="5"/>
      <c r="L185" s="5"/>
      <c r="M185" s="5"/>
      <c r="N185" s="5"/>
      <c r="O185" s="5"/>
      <c r="P185" s="5"/>
    </row>
    <row r="186" spans="2:22" s="8" customFormat="1" ht="16.5" hidden="1">
      <c r="B186" s="37"/>
      <c r="C186" s="37"/>
      <c r="D186" s="38"/>
      <c r="E186" s="38"/>
      <c r="F186" s="39"/>
      <c r="K186" s="5"/>
      <c r="L186" s="5"/>
      <c r="M186" s="5"/>
      <c r="N186" s="5"/>
      <c r="O186" s="5"/>
      <c r="P186" s="5"/>
    </row>
    <row r="187" spans="2:22" s="8" customFormat="1" ht="16.5" hidden="1">
      <c r="B187" s="37"/>
      <c r="C187" s="37"/>
      <c r="D187" s="38"/>
      <c r="E187" s="38"/>
      <c r="F187" s="39"/>
      <c r="K187" s="5"/>
      <c r="L187" s="5"/>
      <c r="M187" s="5"/>
      <c r="N187" s="5"/>
      <c r="O187" s="5"/>
      <c r="P187" s="5"/>
    </row>
    <row r="188" spans="2:22" s="8" customFormat="1" ht="16.5" hidden="1">
      <c r="B188" s="37"/>
      <c r="C188" s="37"/>
      <c r="D188" s="38"/>
      <c r="E188" s="38"/>
      <c r="F188" s="39"/>
      <c r="K188" s="5"/>
      <c r="L188" s="5"/>
      <c r="M188" s="5"/>
      <c r="N188" s="5"/>
      <c r="O188" s="5"/>
      <c r="P188" s="5"/>
    </row>
    <row r="189" spans="2:22" s="8" customFormat="1" ht="16.5" hidden="1">
      <c r="B189" s="37"/>
      <c r="C189" s="37"/>
      <c r="D189" s="38"/>
      <c r="E189" s="38"/>
      <c r="F189" s="39"/>
      <c r="K189" s="5"/>
      <c r="L189" s="5"/>
      <c r="M189" s="5"/>
      <c r="N189" s="5"/>
      <c r="O189" s="5"/>
      <c r="P189" s="5"/>
    </row>
    <row r="190" spans="2:22" s="8" customFormat="1" ht="16.5" hidden="1">
      <c r="B190" s="37"/>
      <c r="C190" s="37"/>
      <c r="D190" s="38"/>
      <c r="E190" s="38"/>
      <c r="F190" s="39"/>
      <c r="K190" s="5"/>
      <c r="L190" s="5"/>
      <c r="M190" s="5"/>
      <c r="N190" s="5"/>
      <c r="O190" s="5"/>
      <c r="P190" s="5"/>
    </row>
    <row r="191" spans="2:22" s="8" customFormat="1" ht="16.5" hidden="1">
      <c r="B191" s="37"/>
      <c r="C191" s="37"/>
      <c r="D191" s="38"/>
      <c r="E191" s="38"/>
      <c r="F191" s="39"/>
      <c r="K191" s="5"/>
      <c r="L191" s="5"/>
      <c r="M191" s="5"/>
      <c r="N191" s="5"/>
      <c r="O191" s="5"/>
      <c r="P191" s="5"/>
    </row>
    <row r="192" spans="2:22" s="8" customFormat="1" ht="16.5" hidden="1">
      <c r="B192" s="37"/>
      <c r="C192" s="37"/>
      <c r="D192" s="38"/>
      <c r="E192" s="38"/>
      <c r="F192" s="39"/>
      <c r="K192" s="5"/>
      <c r="L192" s="5"/>
      <c r="M192" s="5"/>
      <c r="N192" s="5"/>
      <c r="O192" s="5"/>
      <c r="P192" s="5"/>
    </row>
    <row r="193" spans="2:16" s="8" customFormat="1" ht="16.5" hidden="1">
      <c r="B193" s="37"/>
      <c r="C193" s="37"/>
      <c r="D193" s="38"/>
      <c r="E193" s="38"/>
      <c r="F193" s="39"/>
      <c r="K193" s="5"/>
      <c r="L193" s="5"/>
      <c r="M193" s="5"/>
      <c r="N193" s="5"/>
      <c r="O193" s="5"/>
      <c r="P193" s="5"/>
    </row>
    <row r="194" spans="2:16" s="8" customFormat="1" ht="16.5" hidden="1">
      <c r="B194" s="37"/>
      <c r="C194" s="37"/>
      <c r="D194" s="38"/>
      <c r="E194" s="38"/>
      <c r="F194" s="39"/>
      <c r="K194" s="5"/>
      <c r="L194" s="5"/>
      <c r="M194" s="5"/>
      <c r="N194" s="5"/>
      <c r="O194" s="5"/>
      <c r="P194" s="5"/>
    </row>
    <row r="195" spans="2:16" s="8" customFormat="1" ht="16.5" hidden="1">
      <c r="B195" s="37"/>
      <c r="C195" s="37"/>
      <c r="D195" s="38"/>
      <c r="E195" s="38"/>
      <c r="F195" s="39"/>
      <c r="K195" s="5"/>
      <c r="L195" s="5"/>
      <c r="M195" s="5"/>
      <c r="N195" s="5"/>
      <c r="O195" s="5"/>
      <c r="P195" s="5"/>
    </row>
    <row r="196" spans="2:16" s="8" customFormat="1" ht="16.5" hidden="1">
      <c r="B196" s="37"/>
      <c r="C196" s="37"/>
      <c r="D196" s="38"/>
      <c r="E196" s="38"/>
      <c r="F196" s="39"/>
      <c r="K196" s="5"/>
      <c r="L196" s="5"/>
      <c r="M196" s="5"/>
      <c r="N196" s="5"/>
      <c r="O196" s="5"/>
      <c r="P196" s="5"/>
    </row>
    <row r="197" spans="2:16" s="8" customFormat="1" ht="16.5" hidden="1">
      <c r="B197" s="37"/>
      <c r="C197" s="37"/>
      <c r="D197" s="38"/>
      <c r="E197" s="38"/>
      <c r="F197" s="39"/>
      <c r="K197" s="5"/>
      <c r="L197" s="5"/>
      <c r="M197" s="5"/>
      <c r="N197" s="5"/>
      <c r="O197" s="5"/>
      <c r="P197" s="5"/>
    </row>
    <row r="198" spans="2:16" s="8" customFormat="1" ht="16.5" hidden="1">
      <c r="B198" s="37"/>
      <c r="C198" s="37"/>
      <c r="D198" s="38"/>
      <c r="E198" s="38"/>
      <c r="F198" s="39"/>
      <c r="K198" s="5"/>
      <c r="L198" s="5"/>
      <c r="M198" s="5"/>
      <c r="N198" s="5"/>
      <c r="O198" s="5"/>
      <c r="P198" s="5"/>
    </row>
    <row r="199" spans="2:16" s="8" customFormat="1" ht="16.5" hidden="1">
      <c r="B199" s="37"/>
      <c r="C199" s="37"/>
      <c r="D199" s="38"/>
      <c r="E199" s="38"/>
      <c r="F199" s="39"/>
      <c r="K199" s="5"/>
      <c r="L199" s="5"/>
      <c r="M199" s="5"/>
      <c r="N199" s="5"/>
      <c r="O199" s="5"/>
      <c r="P199" s="5"/>
    </row>
    <row r="200" spans="2:16" s="8" customFormat="1" ht="16.5" hidden="1">
      <c r="B200" s="37"/>
      <c r="C200" s="37"/>
      <c r="D200" s="38"/>
      <c r="E200" s="38"/>
      <c r="F200" s="39"/>
      <c r="K200" s="5"/>
      <c r="L200" s="5"/>
      <c r="M200" s="5"/>
      <c r="N200" s="5"/>
      <c r="O200" s="5"/>
      <c r="P200" s="5"/>
    </row>
    <row r="201" spans="2:16" s="8" customFormat="1" ht="16.5" hidden="1">
      <c r="B201" s="37"/>
      <c r="C201" s="37"/>
      <c r="D201" s="38"/>
      <c r="E201" s="38"/>
      <c r="F201" s="39"/>
      <c r="K201" s="5"/>
      <c r="L201" s="5"/>
      <c r="M201" s="5"/>
      <c r="N201" s="5"/>
      <c r="O201" s="5"/>
      <c r="P201" s="5"/>
    </row>
    <row r="202" spans="2:16" s="8" customFormat="1" ht="16.5" hidden="1">
      <c r="B202" s="37"/>
      <c r="C202" s="37"/>
      <c r="D202" s="38"/>
      <c r="E202" s="38"/>
      <c r="F202" s="39"/>
      <c r="K202" s="5"/>
      <c r="L202" s="5"/>
      <c r="M202" s="5"/>
      <c r="N202" s="5"/>
      <c r="O202" s="5"/>
      <c r="P202" s="5"/>
    </row>
    <row r="203" spans="2:16" s="8" customFormat="1" ht="16.5" hidden="1">
      <c r="B203" s="37"/>
      <c r="C203" s="37"/>
      <c r="D203" s="38"/>
      <c r="E203" s="38"/>
      <c r="F203" s="39"/>
      <c r="K203" s="5"/>
      <c r="L203" s="5"/>
      <c r="M203" s="5"/>
      <c r="N203" s="5"/>
      <c r="O203" s="5"/>
      <c r="P203" s="5"/>
    </row>
    <row r="204" spans="2:16" s="8" customFormat="1" ht="16.5" hidden="1">
      <c r="B204" s="37"/>
      <c r="C204" s="37"/>
      <c r="D204" s="38"/>
      <c r="E204" s="38"/>
      <c r="F204" s="39"/>
      <c r="K204" s="5"/>
      <c r="L204" s="5"/>
      <c r="M204" s="5"/>
      <c r="N204" s="5"/>
      <c r="O204" s="5"/>
      <c r="P204" s="5"/>
    </row>
    <row r="205" spans="2:16" s="8" customFormat="1" ht="16.5" hidden="1">
      <c r="B205" s="37"/>
      <c r="C205" s="37"/>
      <c r="D205" s="38"/>
      <c r="E205" s="38"/>
      <c r="F205" s="39"/>
      <c r="K205" s="5"/>
      <c r="L205" s="5"/>
      <c r="M205" s="5"/>
      <c r="N205" s="5"/>
      <c r="O205" s="5"/>
      <c r="P205" s="5"/>
    </row>
    <row r="206" spans="2:16" s="8" customFormat="1" ht="16.5" hidden="1">
      <c r="B206" s="37"/>
      <c r="C206" s="37"/>
      <c r="D206" s="38"/>
      <c r="E206" s="38"/>
      <c r="F206" s="39"/>
      <c r="K206" s="5"/>
      <c r="L206" s="5"/>
      <c r="M206" s="5"/>
      <c r="N206" s="5"/>
      <c r="O206" s="5"/>
      <c r="P206" s="5"/>
    </row>
    <row r="207" spans="2:16" s="8" customFormat="1" ht="16.5" hidden="1">
      <c r="B207" s="37"/>
      <c r="C207" s="37"/>
      <c r="D207" s="38"/>
      <c r="E207" s="38"/>
      <c r="F207" s="39"/>
      <c r="K207" s="5"/>
      <c r="L207" s="5"/>
      <c r="M207" s="5"/>
      <c r="N207" s="5"/>
      <c r="O207" s="5"/>
      <c r="P207" s="5"/>
    </row>
    <row r="208" spans="2:16" s="8" customFormat="1" ht="16.5" hidden="1">
      <c r="B208" s="37"/>
      <c r="C208" s="37"/>
      <c r="D208" s="38"/>
      <c r="E208" s="38"/>
      <c r="F208" s="39"/>
      <c r="K208" s="5"/>
      <c r="L208" s="5"/>
      <c r="M208" s="5"/>
      <c r="N208" s="5"/>
      <c r="O208" s="5"/>
      <c r="P208" s="5"/>
    </row>
    <row r="209" spans="2:16" s="8" customFormat="1" ht="16.5" hidden="1">
      <c r="B209" s="37"/>
      <c r="C209" s="37"/>
      <c r="D209" s="38"/>
      <c r="E209" s="38"/>
      <c r="F209" s="39"/>
      <c r="K209" s="5"/>
      <c r="L209" s="5"/>
      <c r="M209" s="5"/>
      <c r="N209" s="5"/>
      <c r="O209" s="5"/>
      <c r="P209" s="5"/>
    </row>
    <row r="210" spans="2:16" s="8" customFormat="1" ht="16.5" hidden="1">
      <c r="B210" s="37"/>
      <c r="C210" s="37"/>
      <c r="D210" s="38"/>
      <c r="E210" s="38"/>
      <c r="F210" s="39"/>
      <c r="K210" s="5"/>
      <c r="L210" s="5"/>
      <c r="M210" s="5"/>
      <c r="N210" s="5"/>
      <c r="O210" s="5"/>
      <c r="P210" s="5"/>
    </row>
    <row r="211" spans="2:16" s="8" customFormat="1" ht="16.5" hidden="1">
      <c r="B211" s="37"/>
      <c r="C211" s="37"/>
      <c r="D211" s="38"/>
      <c r="E211" s="38"/>
      <c r="F211" s="39"/>
      <c r="K211" s="5"/>
      <c r="L211" s="5"/>
      <c r="M211" s="5"/>
      <c r="N211" s="5"/>
      <c r="O211" s="5"/>
      <c r="P211" s="5"/>
    </row>
    <row r="212" spans="2:16" s="8" customFormat="1" ht="16.5" hidden="1">
      <c r="B212" s="37"/>
      <c r="C212" s="37"/>
      <c r="D212" s="38"/>
      <c r="E212" s="38"/>
      <c r="F212" s="39"/>
      <c r="K212" s="5"/>
      <c r="L212" s="5"/>
      <c r="M212" s="5"/>
      <c r="N212" s="5"/>
      <c r="O212" s="5"/>
      <c r="P212" s="5"/>
    </row>
    <row r="213" spans="2:16" s="8" customFormat="1" ht="16.5" hidden="1">
      <c r="B213" s="37"/>
      <c r="C213" s="37"/>
      <c r="D213" s="38"/>
      <c r="E213" s="38"/>
      <c r="F213" s="39"/>
      <c r="K213" s="5"/>
      <c r="L213" s="5"/>
      <c r="M213" s="5"/>
      <c r="N213" s="5"/>
      <c r="O213" s="5"/>
      <c r="P213" s="5"/>
    </row>
    <row r="214" spans="2:16" s="8" customFormat="1" ht="16.5" hidden="1">
      <c r="B214" s="37"/>
      <c r="C214" s="37"/>
      <c r="D214" s="38"/>
      <c r="E214" s="38"/>
      <c r="F214" s="39"/>
      <c r="K214" s="5"/>
      <c r="L214" s="5"/>
      <c r="M214" s="5"/>
      <c r="N214" s="5"/>
      <c r="O214" s="5"/>
      <c r="P214" s="5"/>
    </row>
    <row r="215" spans="2:16" s="8" customFormat="1" ht="16.5" hidden="1">
      <c r="B215" s="37"/>
      <c r="C215" s="37"/>
      <c r="D215" s="38"/>
      <c r="E215" s="38"/>
      <c r="F215" s="39"/>
      <c r="K215" s="5"/>
      <c r="L215" s="5"/>
      <c r="M215" s="5"/>
      <c r="N215" s="5"/>
      <c r="O215" s="5"/>
      <c r="P215" s="5"/>
    </row>
    <row r="216" spans="2:16" s="8" customFormat="1" ht="16.5" hidden="1">
      <c r="B216" s="37"/>
      <c r="C216" s="37"/>
      <c r="D216" s="38"/>
      <c r="E216" s="38"/>
      <c r="F216" s="39"/>
      <c r="K216" s="5"/>
      <c r="L216" s="5"/>
      <c r="M216" s="5"/>
      <c r="N216" s="5"/>
      <c r="O216" s="5"/>
      <c r="P216" s="5"/>
    </row>
    <row r="217" spans="2:16" s="8" customFormat="1" ht="16.5" hidden="1">
      <c r="B217" s="37"/>
      <c r="C217" s="37"/>
      <c r="D217" s="38"/>
      <c r="E217" s="38"/>
      <c r="F217" s="39"/>
      <c r="K217" s="5"/>
      <c r="L217" s="5"/>
      <c r="M217" s="5"/>
      <c r="N217" s="5"/>
      <c r="O217" s="5"/>
      <c r="P217" s="5"/>
    </row>
    <row r="218" spans="2:16" s="8" customFormat="1" ht="16.5" hidden="1">
      <c r="B218" s="37"/>
      <c r="C218" s="37"/>
      <c r="D218" s="38"/>
      <c r="E218" s="38"/>
      <c r="F218" s="39"/>
      <c r="K218" s="5"/>
      <c r="L218" s="5"/>
      <c r="M218" s="5"/>
      <c r="N218" s="5"/>
      <c r="O218" s="5"/>
      <c r="P218" s="5"/>
    </row>
    <row r="219" spans="2:16" s="8" customFormat="1" ht="16.5" hidden="1">
      <c r="B219" s="37"/>
      <c r="C219" s="37"/>
      <c r="D219" s="38"/>
      <c r="E219" s="38"/>
      <c r="F219" s="39"/>
      <c r="K219" s="5"/>
      <c r="L219" s="5"/>
      <c r="M219" s="5"/>
      <c r="N219" s="5"/>
      <c r="O219" s="5"/>
      <c r="P219" s="5"/>
    </row>
    <row r="220" spans="2:16" s="8" customFormat="1" ht="16.5" hidden="1">
      <c r="B220" s="37"/>
      <c r="C220" s="37"/>
      <c r="D220" s="38"/>
      <c r="E220" s="38"/>
      <c r="F220" s="39"/>
      <c r="K220" s="5"/>
      <c r="L220" s="5"/>
      <c r="M220" s="5"/>
      <c r="N220" s="5"/>
      <c r="O220" s="5"/>
      <c r="P220" s="5"/>
    </row>
    <row r="221" spans="2:16" s="8" customFormat="1" ht="16.5" hidden="1">
      <c r="B221" s="37"/>
      <c r="C221" s="37"/>
      <c r="D221" s="38"/>
      <c r="E221" s="38"/>
      <c r="F221" s="39"/>
      <c r="K221" s="5"/>
      <c r="L221" s="5"/>
      <c r="M221" s="5"/>
      <c r="N221" s="5"/>
      <c r="O221" s="5"/>
      <c r="P221" s="5"/>
    </row>
    <row r="222" spans="2:16" s="8" customFormat="1" ht="16.5" hidden="1">
      <c r="B222" s="37"/>
      <c r="C222" s="37"/>
      <c r="D222" s="38"/>
      <c r="E222" s="38"/>
      <c r="F222" s="39"/>
      <c r="K222" s="5"/>
      <c r="L222" s="5"/>
      <c r="M222" s="5"/>
      <c r="N222" s="5"/>
      <c r="O222" s="5"/>
      <c r="P222" s="5"/>
    </row>
    <row r="223" spans="2:16" s="8" customFormat="1" ht="16.5" hidden="1">
      <c r="B223" s="37"/>
      <c r="C223" s="37"/>
      <c r="D223" s="38"/>
      <c r="E223" s="38"/>
      <c r="F223" s="39"/>
      <c r="K223" s="5"/>
      <c r="L223" s="5"/>
      <c r="M223" s="5"/>
      <c r="N223" s="5"/>
      <c r="O223" s="5"/>
      <c r="P223" s="5"/>
    </row>
    <row r="224" spans="2:16" s="8" customFormat="1" ht="16.5" hidden="1">
      <c r="B224" s="37"/>
      <c r="C224" s="37"/>
      <c r="D224" s="38"/>
      <c r="E224" s="38"/>
      <c r="F224" s="39"/>
      <c r="K224" s="5"/>
      <c r="L224" s="5"/>
      <c r="M224" s="5"/>
      <c r="N224" s="5"/>
      <c r="O224" s="5"/>
      <c r="P224" s="5"/>
    </row>
    <row r="225" spans="2:16" s="8" customFormat="1" ht="16.5" hidden="1">
      <c r="B225" s="37"/>
      <c r="C225" s="37"/>
      <c r="D225" s="38"/>
      <c r="E225" s="38"/>
      <c r="F225" s="39"/>
      <c r="K225" s="5"/>
      <c r="L225" s="5"/>
      <c r="M225" s="5"/>
      <c r="N225" s="5"/>
      <c r="O225" s="5"/>
      <c r="P225" s="5"/>
    </row>
    <row r="226" spans="2:16" s="8" customFormat="1" ht="16.5" hidden="1">
      <c r="B226" s="37"/>
      <c r="C226" s="37"/>
      <c r="D226" s="38"/>
      <c r="E226" s="38"/>
      <c r="F226" s="39"/>
      <c r="K226" s="5"/>
      <c r="L226" s="5"/>
      <c r="M226" s="5"/>
      <c r="N226" s="5"/>
      <c r="O226" s="5"/>
      <c r="P226" s="5"/>
    </row>
    <row r="227" spans="2:16" s="8" customFormat="1" ht="16.5" hidden="1">
      <c r="B227" s="37"/>
      <c r="C227" s="37"/>
      <c r="D227" s="38"/>
      <c r="E227" s="38"/>
      <c r="F227" s="39"/>
      <c r="K227" s="5"/>
      <c r="L227" s="5"/>
      <c r="M227" s="5"/>
      <c r="N227" s="5"/>
      <c r="O227" s="5"/>
      <c r="P227" s="5"/>
    </row>
    <row r="228" spans="2:16" s="8" customFormat="1" ht="16.5" hidden="1">
      <c r="B228" s="37"/>
      <c r="C228" s="37"/>
      <c r="D228" s="38"/>
      <c r="E228" s="38"/>
      <c r="F228" s="39"/>
      <c r="K228" s="5"/>
      <c r="L228" s="5"/>
      <c r="M228" s="5"/>
      <c r="N228" s="5"/>
      <c r="O228" s="5"/>
      <c r="P228" s="5"/>
    </row>
    <row r="229" spans="2:16" s="8" customFormat="1" ht="16.5" hidden="1">
      <c r="B229" s="37"/>
      <c r="C229" s="37"/>
      <c r="D229" s="38"/>
      <c r="E229" s="38"/>
      <c r="F229" s="39"/>
      <c r="K229" s="5"/>
      <c r="L229" s="5"/>
      <c r="M229" s="5"/>
      <c r="N229" s="5"/>
      <c r="O229" s="5"/>
      <c r="P229" s="5"/>
    </row>
    <row r="230" spans="2:16" s="8" customFormat="1" ht="16.5" hidden="1">
      <c r="B230" s="37"/>
      <c r="C230" s="37"/>
      <c r="D230" s="38"/>
      <c r="E230" s="38"/>
      <c r="F230" s="39"/>
      <c r="K230" s="5"/>
      <c r="L230" s="5"/>
      <c r="M230" s="5"/>
      <c r="N230" s="5"/>
      <c r="O230" s="5"/>
      <c r="P230" s="5"/>
    </row>
    <row r="231" spans="2:16" s="8" customFormat="1" ht="16.5" hidden="1">
      <c r="B231" s="37"/>
      <c r="C231" s="37"/>
      <c r="D231" s="38"/>
      <c r="E231" s="38"/>
      <c r="F231" s="39"/>
      <c r="K231" s="5"/>
      <c r="L231" s="5"/>
      <c r="M231" s="5"/>
      <c r="N231" s="5"/>
      <c r="O231" s="5"/>
      <c r="P231" s="5"/>
    </row>
    <row r="232" spans="2:16" s="8" customFormat="1" ht="16.5" hidden="1">
      <c r="B232" s="37"/>
      <c r="C232" s="37"/>
      <c r="D232" s="38"/>
      <c r="E232" s="38"/>
      <c r="F232" s="39"/>
      <c r="K232" s="5"/>
      <c r="L232" s="5"/>
      <c r="M232" s="5"/>
      <c r="N232" s="5"/>
      <c r="O232" s="5"/>
      <c r="P232" s="5"/>
    </row>
    <row r="233" spans="2:16" s="8" customFormat="1" ht="16.5" hidden="1">
      <c r="B233" s="37"/>
      <c r="C233" s="37"/>
      <c r="D233" s="38"/>
      <c r="E233" s="38"/>
      <c r="F233" s="39"/>
      <c r="K233" s="5"/>
      <c r="L233" s="5"/>
      <c r="M233" s="5"/>
      <c r="N233" s="5"/>
      <c r="O233" s="5"/>
      <c r="P233" s="5"/>
    </row>
    <row r="234" spans="2:16" s="8" customFormat="1" ht="16.5" hidden="1">
      <c r="B234" s="37"/>
      <c r="C234" s="37"/>
      <c r="D234" s="38"/>
      <c r="E234" s="38"/>
      <c r="F234" s="39"/>
      <c r="K234" s="5"/>
      <c r="L234" s="5"/>
      <c r="M234" s="5"/>
      <c r="N234" s="5"/>
      <c r="O234" s="5"/>
      <c r="P234" s="5"/>
    </row>
    <row r="235" spans="2:16" s="8" customFormat="1" ht="16.5" hidden="1">
      <c r="B235" s="37"/>
      <c r="C235" s="37"/>
      <c r="D235" s="38"/>
      <c r="E235" s="38"/>
      <c r="F235" s="39"/>
      <c r="K235" s="5"/>
      <c r="L235" s="5"/>
      <c r="M235" s="5"/>
      <c r="N235" s="5"/>
      <c r="O235" s="5"/>
      <c r="P235" s="5"/>
    </row>
    <row r="236" spans="2:16" s="8" customFormat="1" ht="16.5" hidden="1">
      <c r="B236" s="37"/>
      <c r="C236" s="37"/>
      <c r="D236" s="38"/>
      <c r="E236" s="38"/>
      <c r="F236" s="39"/>
      <c r="K236" s="5"/>
      <c r="L236" s="5"/>
      <c r="M236" s="5"/>
      <c r="N236" s="5"/>
      <c r="O236" s="5"/>
      <c r="P236" s="5"/>
    </row>
    <row r="237" spans="2:16" s="8" customFormat="1" ht="16.5" hidden="1">
      <c r="B237" s="37"/>
      <c r="C237" s="37"/>
      <c r="D237" s="38"/>
      <c r="E237" s="38"/>
      <c r="F237" s="39"/>
      <c r="K237" s="5"/>
      <c r="L237" s="5"/>
      <c r="M237" s="5"/>
      <c r="N237" s="5"/>
      <c r="O237" s="5"/>
      <c r="P237" s="5"/>
    </row>
    <row r="238" spans="2:16" s="8" customFormat="1" ht="16.5" hidden="1">
      <c r="B238" s="37"/>
      <c r="C238" s="37"/>
      <c r="D238" s="38"/>
      <c r="E238" s="38"/>
      <c r="F238" s="39"/>
      <c r="K238" s="5"/>
      <c r="L238" s="5"/>
      <c r="M238" s="5"/>
      <c r="N238" s="5"/>
      <c r="O238" s="5"/>
      <c r="P238" s="5"/>
    </row>
    <row r="239" spans="2:16" s="8" customFormat="1" ht="16.5" hidden="1">
      <c r="B239" s="37"/>
      <c r="C239" s="37"/>
      <c r="D239" s="38"/>
      <c r="E239" s="38"/>
      <c r="F239" s="39"/>
      <c r="K239" s="5"/>
      <c r="L239" s="5"/>
      <c r="M239" s="5"/>
      <c r="N239" s="5"/>
      <c r="O239" s="5"/>
      <c r="P239" s="5"/>
    </row>
    <row r="240" spans="2:16" s="8" customFormat="1" ht="16.5" hidden="1">
      <c r="B240" s="37"/>
      <c r="C240" s="37"/>
      <c r="D240" s="38"/>
      <c r="E240" s="38"/>
      <c r="F240" s="39"/>
      <c r="K240" s="5"/>
      <c r="L240" s="5"/>
      <c r="M240" s="5"/>
      <c r="N240" s="5"/>
      <c r="O240" s="5"/>
      <c r="P240" s="5"/>
    </row>
    <row r="241" spans="2:16" s="8" customFormat="1" ht="16.5" hidden="1">
      <c r="B241" s="37"/>
      <c r="C241" s="37"/>
      <c r="D241" s="38"/>
      <c r="E241" s="38"/>
      <c r="F241" s="39"/>
      <c r="K241" s="5"/>
      <c r="L241" s="5"/>
      <c r="M241" s="5"/>
      <c r="N241" s="5"/>
      <c r="O241" s="5"/>
      <c r="P241" s="5"/>
    </row>
    <row r="242" spans="2:16" s="8" customFormat="1" ht="16.5" hidden="1">
      <c r="B242" s="37"/>
      <c r="C242" s="37"/>
      <c r="D242" s="38"/>
      <c r="E242" s="38"/>
      <c r="F242" s="39"/>
      <c r="K242" s="5"/>
      <c r="L242" s="5"/>
      <c r="M242" s="5"/>
      <c r="N242" s="5"/>
      <c r="O242" s="5"/>
      <c r="P242" s="5"/>
    </row>
    <row r="243" spans="2:16" s="8" customFormat="1" ht="16.5" hidden="1">
      <c r="B243" s="37"/>
      <c r="C243" s="37"/>
      <c r="D243" s="38"/>
      <c r="E243" s="38"/>
      <c r="F243" s="39"/>
      <c r="K243" s="5"/>
      <c r="L243" s="5"/>
      <c r="M243" s="5"/>
      <c r="N243" s="5"/>
      <c r="O243" s="5"/>
      <c r="P243" s="5"/>
    </row>
    <row r="244" spans="2:16" s="8" customFormat="1" ht="16.5" hidden="1">
      <c r="B244" s="37"/>
      <c r="C244" s="37"/>
      <c r="D244" s="38"/>
      <c r="E244" s="38"/>
      <c r="F244" s="39"/>
      <c r="K244" s="5"/>
      <c r="L244" s="5"/>
      <c r="M244" s="5"/>
      <c r="N244" s="5"/>
      <c r="O244" s="5"/>
      <c r="P244" s="5"/>
    </row>
    <row r="245" spans="2:16" s="8" customFormat="1" ht="16.5" hidden="1">
      <c r="B245" s="37"/>
      <c r="C245" s="37"/>
      <c r="D245" s="38"/>
      <c r="E245" s="38"/>
      <c r="F245" s="39"/>
      <c r="K245" s="5"/>
      <c r="L245" s="5"/>
      <c r="M245" s="5"/>
      <c r="N245" s="5"/>
      <c r="O245" s="5"/>
      <c r="P245" s="5"/>
    </row>
    <row r="246" spans="2:16" s="8" customFormat="1" ht="16.5" hidden="1">
      <c r="B246" s="37"/>
      <c r="C246" s="37"/>
      <c r="D246" s="38"/>
      <c r="E246" s="38"/>
      <c r="F246" s="39"/>
      <c r="K246" s="5"/>
      <c r="L246" s="5"/>
      <c r="M246" s="5"/>
      <c r="N246" s="5"/>
      <c r="O246" s="5"/>
      <c r="P246" s="5"/>
    </row>
    <row r="247" spans="2:16" s="8" customFormat="1" ht="16.5" hidden="1">
      <c r="B247" s="37"/>
      <c r="C247" s="37"/>
      <c r="D247" s="38"/>
      <c r="E247" s="38"/>
      <c r="F247" s="39"/>
      <c r="K247" s="5"/>
      <c r="L247" s="5"/>
      <c r="M247" s="5"/>
      <c r="N247" s="5"/>
      <c r="O247" s="5"/>
      <c r="P247" s="5"/>
    </row>
    <row r="248" spans="2:16" s="8" customFormat="1" ht="16.5" hidden="1">
      <c r="B248" s="37"/>
      <c r="C248" s="37"/>
      <c r="D248" s="38"/>
      <c r="E248" s="38"/>
      <c r="F248" s="39"/>
      <c r="K248" s="5"/>
      <c r="L248" s="5"/>
      <c r="M248" s="5"/>
      <c r="N248" s="5"/>
      <c r="O248" s="5"/>
      <c r="P248" s="5"/>
    </row>
    <row r="249" spans="2:16" s="8" customFormat="1" ht="16.5" hidden="1">
      <c r="B249" s="37"/>
      <c r="C249" s="37"/>
      <c r="D249" s="38"/>
      <c r="E249" s="38"/>
      <c r="F249" s="39"/>
      <c r="K249" s="5"/>
      <c r="L249" s="5"/>
      <c r="M249" s="5"/>
      <c r="N249" s="5"/>
      <c r="O249" s="5"/>
      <c r="P249" s="5"/>
    </row>
    <row r="250" spans="2:16" s="8" customFormat="1" ht="16.5" hidden="1">
      <c r="B250" s="37"/>
      <c r="C250" s="37"/>
      <c r="D250" s="38"/>
      <c r="E250" s="38"/>
      <c r="F250" s="39"/>
      <c r="K250" s="5"/>
      <c r="L250" s="5"/>
      <c r="M250" s="5"/>
      <c r="N250" s="5"/>
      <c r="O250" s="5"/>
      <c r="P250" s="5"/>
    </row>
    <row r="251" spans="2:16" s="8" customFormat="1" ht="16.5" hidden="1">
      <c r="B251" s="37"/>
      <c r="C251" s="37"/>
      <c r="D251" s="38"/>
      <c r="E251" s="38"/>
      <c r="F251" s="39"/>
      <c r="K251" s="5"/>
      <c r="L251" s="5"/>
      <c r="M251" s="5"/>
      <c r="N251" s="5"/>
      <c r="O251" s="5"/>
      <c r="P251" s="5"/>
    </row>
    <row r="252" spans="2:16" s="8" customFormat="1" ht="16.5" hidden="1">
      <c r="B252" s="37"/>
      <c r="C252" s="37"/>
      <c r="D252" s="38"/>
      <c r="E252" s="38"/>
      <c r="F252" s="39"/>
      <c r="K252" s="5"/>
      <c r="L252" s="5"/>
      <c r="M252" s="5"/>
      <c r="N252" s="5"/>
      <c r="O252" s="5"/>
      <c r="P252" s="5"/>
    </row>
    <row r="253" spans="2:16" s="8" customFormat="1" ht="16.5" hidden="1">
      <c r="B253" s="37"/>
      <c r="C253" s="37"/>
      <c r="D253" s="38"/>
      <c r="E253" s="38"/>
      <c r="F253" s="39"/>
      <c r="K253" s="5"/>
      <c r="L253" s="5"/>
      <c r="M253" s="5"/>
      <c r="N253" s="5"/>
      <c r="O253" s="5"/>
      <c r="P253" s="5"/>
    </row>
    <row r="254" spans="2:16" s="8" customFormat="1" ht="16.5" hidden="1">
      <c r="B254" s="37"/>
      <c r="C254" s="37"/>
      <c r="D254" s="38"/>
      <c r="E254" s="38"/>
      <c r="F254" s="39"/>
      <c r="K254" s="5"/>
      <c r="L254" s="5"/>
      <c r="M254" s="5"/>
      <c r="N254" s="5"/>
      <c r="O254" s="5"/>
      <c r="P254" s="5"/>
    </row>
    <row r="255" spans="2:16" s="8" customFormat="1" ht="16.5" hidden="1">
      <c r="B255" s="37"/>
      <c r="C255" s="37"/>
      <c r="D255" s="38"/>
      <c r="E255" s="38"/>
      <c r="F255" s="39"/>
      <c r="K255" s="5"/>
      <c r="L255" s="5"/>
      <c r="M255" s="5"/>
      <c r="N255" s="5"/>
      <c r="O255" s="5"/>
      <c r="P255" s="5"/>
    </row>
    <row r="256" spans="2:16" s="8" customFormat="1" ht="16.5" hidden="1">
      <c r="B256" s="37"/>
      <c r="C256" s="37"/>
      <c r="D256" s="38"/>
      <c r="E256" s="38"/>
      <c r="F256" s="39"/>
      <c r="K256" s="5"/>
      <c r="L256" s="5"/>
      <c r="M256" s="5"/>
      <c r="N256" s="5"/>
      <c r="O256" s="5"/>
      <c r="P256" s="5"/>
    </row>
    <row r="257" spans="2:16" s="8" customFormat="1" ht="16.5" hidden="1">
      <c r="B257" s="37"/>
      <c r="C257" s="37"/>
      <c r="D257" s="38"/>
      <c r="E257" s="38"/>
      <c r="F257" s="39"/>
      <c r="K257" s="5"/>
      <c r="L257" s="5"/>
      <c r="M257" s="5"/>
      <c r="N257" s="5"/>
      <c r="O257" s="5"/>
      <c r="P257" s="5"/>
    </row>
    <row r="258" spans="2:16" s="8" customFormat="1" ht="16.5" hidden="1">
      <c r="B258" s="37"/>
      <c r="C258" s="37"/>
      <c r="D258" s="38"/>
      <c r="E258" s="38"/>
      <c r="F258" s="39"/>
      <c r="K258" s="5"/>
      <c r="L258" s="5"/>
      <c r="M258" s="5"/>
      <c r="N258" s="5"/>
      <c r="O258" s="5"/>
      <c r="P258" s="5"/>
    </row>
    <row r="259" spans="2:16" s="8" customFormat="1" ht="16.5" hidden="1">
      <c r="B259" s="37"/>
      <c r="C259" s="37"/>
      <c r="D259" s="38"/>
      <c r="E259" s="38"/>
      <c r="F259" s="39"/>
      <c r="K259" s="5"/>
      <c r="L259" s="5"/>
      <c r="M259" s="5"/>
      <c r="N259" s="5"/>
      <c r="O259" s="5"/>
      <c r="P259" s="5"/>
    </row>
    <row r="260" spans="2:16" s="8" customFormat="1" ht="16.5" hidden="1">
      <c r="B260" s="37"/>
      <c r="C260" s="37"/>
      <c r="D260" s="38"/>
      <c r="E260" s="38"/>
      <c r="F260" s="39"/>
      <c r="K260" s="5"/>
      <c r="L260" s="5"/>
      <c r="M260" s="5"/>
      <c r="N260" s="5"/>
      <c r="O260" s="5"/>
      <c r="P260" s="5"/>
    </row>
    <row r="261" spans="2:16" s="8" customFormat="1" ht="16.5" hidden="1">
      <c r="B261" s="37"/>
      <c r="C261" s="37"/>
      <c r="D261" s="38"/>
      <c r="E261" s="38"/>
      <c r="F261" s="39"/>
      <c r="K261" s="5"/>
      <c r="L261" s="5"/>
      <c r="M261" s="5"/>
      <c r="N261" s="5"/>
      <c r="O261" s="5"/>
      <c r="P261" s="5"/>
    </row>
    <row r="262" spans="2:16" s="8" customFormat="1" ht="16.5" hidden="1">
      <c r="B262" s="37"/>
      <c r="C262" s="37"/>
      <c r="D262" s="38"/>
      <c r="E262" s="38"/>
      <c r="F262" s="39"/>
      <c r="K262" s="5"/>
      <c r="L262" s="5"/>
      <c r="M262" s="5"/>
      <c r="N262" s="5"/>
      <c r="O262" s="5"/>
      <c r="P262" s="5"/>
    </row>
    <row r="263" spans="2:16" s="8" customFormat="1" ht="16.5" hidden="1">
      <c r="B263" s="37"/>
      <c r="C263" s="37"/>
      <c r="D263" s="38"/>
      <c r="E263" s="38"/>
      <c r="F263" s="39"/>
      <c r="K263" s="5"/>
      <c r="L263" s="5"/>
      <c r="M263" s="5"/>
      <c r="N263" s="5"/>
      <c r="O263" s="5"/>
      <c r="P263" s="5"/>
    </row>
    <row r="264" spans="2:16" s="8" customFormat="1" ht="16.5" hidden="1">
      <c r="B264" s="37"/>
      <c r="C264" s="37"/>
      <c r="D264" s="38"/>
      <c r="E264" s="38"/>
      <c r="F264" s="39"/>
      <c r="K264" s="5"/>
      <c r="L264" s="5"/>
      <c r="M264" s="5"/>
      <c r="N264" s="5"/>
      <c r="O264" s="5"/>
      <c r="P264" s="5"/>
    </row>
    <row r="265" spans="2:16" s="8" customFormat="1" ht="16.5" hidden="1">
      <c r="B265" s="37"/>
      <c r="C265" s="37"/>
      <c r="D265" s="38"/>
      <c r="E265" s="38"/>
      <c r="F265" s="39"/>
      <c r="K265" s="5"/>
      <c r="L265" s="5"/>
      <c r="M265" s="5"/>
      <c r="N265" s="5"/>
      <c r="O265" s="5"/>
      <c r="P265" s="5"/>
    </row>
    <row r="266" spans="2:16" s="8" customFormat="1" ht="16.5" hidden="1">
      <c r="B266" s="37"/>
      <c r="C266" s="37"/>
      <c r="D266" s="38"/>
      <c r="E266" s="38"/>
      <c r="F266" s="39"/>
      <c r="K266" s="5"/>
      <c r="L266" s="5"/>
      <c r="M266" s="5"/>
      <c r="N266" s="5"/>
      <c r="O266" s="5"/>
      <c r="P266" s="5"/>
    </row>
    <row r="267" spans="2:16" s="8" customFormat="1" ht="16.5" hidden="1">
      <c r="B267" s="37"/>
      <c r="C267" s="37"/>
      <c r="D267" s="38"/>
      <c r="E267" s="38"/>
      <c r="F267" s="39"/>
      <c r="K267" s="5"/>
      <c r="L267" s="5"/>
      <c r="M267" s="5"/>
      <c r="N267" s="5"/>
      <c r="O267" s="5"/>
      <c r="P267" s="5"/>
    </row>
    <row r="268" spans="2:16" s="8" customFormat="1" ht="16.5" hidden="1">
      <c r="B268" s="37"/>
      <c r="C268" s="37"/>
      <c r="D268" s="38"/>
      <c r="E268" s="38"/>
      <c r="F268" s="39"/>
      <c r="K268" s="5"/>
      <c r="L268" s="5"/>
      <c r="M268" s="5"/>
      <c r="N268" s="5"/>
      <c r="O268" s="5"/>
      <c r="P268" s="5"/>
    </row>
    <row r="269" spans="2:16" s="8" customFormat="1" ht="16.5" hidden="1">
      <c r="B269" s="37"/>
      <c r="C269" s="37"/>
      <c r="D269" s="38"/>
      <c r="E269" s="38"/>
      <c r="F269" s="39"/>
      <c r="K269" s="5"/>
      <c r="L269" s="5"/>
      <c r="M269" s="5"/>
      <c r="N269" s="5"/>
      <c r="O269" s="5"/>
      <c r="P269" s="5"/>
    </row>
    <row r="270" spans="2:16" s="8" customFormat="1" ht="16.5" hidden="1">
      <c r="B270" s="37"/>
      <c r="C270" s="37"/>
      <c r="D270" s="38"/>
      <c r="E270" s="38"/>
      <c r="F270" s="39"/>
      <c r="K270" s="5"/>
      <c r="L270" s="5"/>
      <c r="M270" s="5"/>
      <c r="N270" s="5"/>
      <c r="O270" s="5"/>
      <c r="P270" s="5"/>
    </row>
    <row r="271" spans="2:16" s="8" customFormat="1" ht="16.5" hidden="1">
      <c r="B271" s="37"/>
      <c r="C271" s="37"/>
      <c r="D271" s="38"/>
      <c r="E271" s="38"/>
      <c r="F271" s="39"/>
      <c r="K271" s="5"/>
      <c r="L271" s="5"/>
      <c r="M271" s="5"/>
      <c r="N271" s="5"/>
      <c r="O271" s="5"/>
      <c r="P271" s="5"/>
    </row>
    <row r="272" spans="2:16" s="8" customFormat="1" ht="16.5" hidden="1">
      <c r="B272" s="37"/>
      <c r="C272" s="37"/>
      <c r="D272" s="38"/>
      <c r="E272" s="38"/>
      <c r="F272" s="39"/>
      <c r="K272" s="5"/>
      <c r="L272" s="5"/>
      <c r="M272" s="5"/>
      <c r="N272" s="5"/>
      <c r="O272" s="5"/>
      <c r="P272" s="5"/>
    </row>
    <row r="273" spans="2:16" s="8" customFormat="1" ht="16.5" hidden="1">
      <c r="B273" s="37"/>
      <c r="C273" s="37"/>
      <c r="D273" s="38"/>
      <c r="E273" s="38"/>
      <c r="F273" s="39"/>
      <c r="K273" s="5"/>
      <c r="L273" s="5"/>
      <c r="M273" s="5"/>
      <c r="N273" s="5"/>
      <c r="O273" s="5"/>
      <c r="P273" s="5"/>
    </row>
    <row r="274" spans="2:16" s="8" customFormat="1" ht="16.5" hidden="1">
      <c r="B274" s="37"/>
      <c r="C274" s="37"/>
      <c r="D274" s="38"/>
      <c r="E274" s="38"/>
      <c r="F274" s="39"/>
      <c r="K274" s="5"/>
      <c r="L274" s="5"/>
      <c r="M274" s="5"/>
      <c r="N274" s="5"/>
      <c r="O274" s="5"/>
      <c r="P274" s="5"/>
    </row>
    <row r="275" spans="2:16" s="8" customFormat="1" ht="16.5" hidden="1">
      <c r="B275" s="37"/>
      <c r="C275" s="37"/>
      <c r="D275" s="38"/>
      <c r="E275" s="38"/>
      <c r="F275" s="39"/>
      <c r="K275" s="5"/>
      <c r="L275" s="5"/>
      <c r="M275" s="5"/>
      <c r="N275" s="5"/>
      <c r="O275" s="5"/>
      <c r="P275" s="5"/>
    </row>
    <row r="276" spans="2:16" s="8" customFormat="1" ht="16.5" hidden="1">
      <c r="B276" s="37"/>
      <c r="C276" s="37"/>
      <c r="D276" s="38"/>
      <c r="E276" s="38"/>
      <c r="F276" s="39"/>
      <c r="K276" s="5"/>
      <c r="L276" s="5"/>
      <c r="M276" s="5"/>
      <c r="N276" s="5"/>
      <c r="O276" s="5"/>
      <c r="P276" s="5"/>
    </row>
    <row r="277" spans="2:16" s="8" customFormat="1" ht="16.5" hidden="1">
      <c r="B277" s="37"/>
      <c r="C277" s="37"/>
      <c r="D277" s="38"/>
      <c r="E277" s="38"/>
      <c r="F277" s="39"/>
      <c r="K277" s="5"/>
      <c r="L277" s="5"/>
      <c r="M277" s="5"/>
      <c r="N277" s="5"/>
      <c r="O277" s="5"/>
      <c r="P277" s="5"/>
    </row>
    <row r="278" spans="2:16" s="8" customFormat="1" ht="16.5" hidden="1">
      <c r="B278" s="37"/>
      <c r="C278" s="37"/>
      <c r="D278" s="38"/>
      <c r="E278" s="38"/>
      <c r="F278" s="39"/>
      <c r="K278" s="5"/>
      <c r="L278" s="5"/>
      <c r="M278" s="5"/>
      <c r="N278" s="5"/>
      <c r="O278" s="5"/>
      <c r="P278" s="5"/>
    </row>
    <row r="279" spans="2:16" s="8" customFormat="1" ht="16.5" hidden="1">
      <c r="B279" s="37"/>
      <c r="C279" s="37"/>
      <c r="D279" s="38"/>
      <c r="E279" s="38"/>
      <c r="F279" s="39"/>
      <c r="K279" s="5"/>
      <c r="L279" s="5"/>
      <c r="M279" s="5"/>
      <c r="N279" s="5"/>
      <c r="O279" s="5"/>
      <c r="P279" s="5"/>
    </row>
    <row r="280" spans="2:16" s="8" customFormat="1" ht="16.5" hidden="1">
      <c r="B280" s="37"/>
      <c r="C280" s="37"/>
      <c r="D280" s="38"/>
      <c r="E280" s="38"/>
      <c r="F280" s="39"/>
      <c r="K280" s="5"/>
      <c r="L280" s="5"/>
      <c r="M280" s="5"/>
      <c r="N280" s="5"/>
      <c r="O280" s="5"/>
      <c r="P280" s="5"/>
    </row>
    <row r="281" spans="2:16" s="8" customFormat="1" ht="16.5" hidden="1">
      <c r="B281" s="37"/>
      <c r="C281" s="37"/>
      <c r="D281" s="38"/>
      <c r="E281" s="38"/>
      <c r="F281" s="39"/>
      <c r="K281" s="5"/>
      <c r="L281" s="5"/>
      <c r="M281" s="5"/>
      <c r="N281" s="5"/>
      <c r="O281" s="5"/>
      <c r="P281" s="5"/>
    </row>
    <row r="282" spans="2:16" s="8" customFormat="1" ht="16.5" hidden="1">
      <c r="B282" s="37"/>
      <c r="C282" s="37"/>
      <c r="D282" s="38"/>
      <c r="E282" s="38"/>
      <c r="F282" s="39"/>
      <c r="K282" s="5"/>
      <c r="L282" s="5"/>
      <c r="M282" s="5"/>
      <c r="N282" s="5"/>
      <c r="O282" s="5"/>
      <c r="P282" s="5"/>
    </row>
    <row r="283" spans="2:16" s="8" customFormat="1" ht="16.5" hidden="1">
      <c r="B283" s="37"/>
      <c r="C283" s="37"/>
      <c r="D283" s="38"/>
      <c r="E283" s="38"/>
      <c r="F283" s="39"/>
      <c r="K283" s="5"/>
      <c r="L283" s="5"/>
      <c r="M283" s="5"/>
      <c r="N283" s="5"/>
      <c r="O283" s="5"/>
      <c r="P283" s="5"/>
    </row>
    <row r="284" spans="2:16" s="8" customFormat="1" ht="16.5" hidden="1">
      <c r="B284" s="37"/>
      <c r="C284" s="37"/>
      <c r="D284" s="38"/>
      <c r="E284" s="38"/>
      <c r="F284" s="39"/>
      <c r="K284" s="5"/>
      <c r="L284" s="5"/>
      <c r="M284" s="5"/>
      <c r="N284" s="5"/>
      <c r="O284" s="5"/>
      <c r="P284" s="5"/>
    </row>
    <row r="285" spans="2:16" s="8" customFormat="1" ht="16.5" hidden="1">
      <c r="B285" s="37"/>
      <c r="C285" s="37"/>
      <c r="D285" s="38"/>
      <c r="E285" s="38"/>
      <c r="F285" s="39"/>
      <c r="K285" s="5"/>
      <c r="L285" s="5"/>
      <c r="M285" s="5"/>
      <c r="N285" s="5"/>
      <c r="O285" s="5"/>
      <c r="P285" s="5"/>
    </row>
    <row r="286" spans="2:16" s="8" customFormat="1" ht="16.5" hidden="1">
      <c r="B286" s="37"/>
      <c r="C286" s="37"/>
      <c r="D286" s="38"/>
      <c r="E286" s="38"/>
      <c r="F286" s="39"/>
      <c r="K286" s="5"/>
      <c r="L286" s="5"/>
      <c r="M286" s="5"/>
      <c r="N286" s="5"/>
      <c r="O286" s="5"/>
      <c r="P286" s="5"/>
    </row>
    <row r="287" spans="2:16" s="8" customFormat="1" ht="16.5" hidden="1">
      <c r="B287" s="37"/>
      <c r="C287" s="37"/>
      <c r="D287" s="38"/>
      <c r="E287" s="38"/>
      <c r="F287" s="39"/>
      <c r="K287" s="5"/>
      <c r="L287" s="5"/>
      <c r="M287" s="5"/>
      <c r="N287" s="5"/>
      <c r="O287" s="5"/>
      <c r="P287" s="5"/>
    </row>
    <row r="288" spans="2:16" s="8" customFormat="1" ht="16.5" hidden="1">
      <c r="B288" s="37"/>
      <c r="C288" s="37"/>
      <c r="D288" s="38"/>
      <c r="E288" s="38"/>
      <c r="F288" s="39"/>
      <c r="K288" s="5"/>
      <c r="L288" s="5"/>
      <c r="M288" s="5"/>
      <c r="N288" s="5"/>
      <c r="O288" s="5"/>
      <c r="P288" s="5"/>
    </row>
    <row r="289" spans="2:16" s="8" customFormat="1" ht="16.5" hidden="1">
      <c r="B289" s="37"/>
      <c r="C289" s="37"/>
      <c r="D289" s="38"/>
      <c r="E289" s="38"/>
      <c r="F289" s="39"/>
      <c r="K289" s="5"/>
      <c r="L289" s="5"/>
      <c r="M289" s="5"/>
      <c r="N289" s="5"/>
      <c r="O289" s="5"/>
      <c r="P289" s="5"/>
    </row>
    <row r="290" spans="2:16" s="8" customFormat="1" ht="16.5" hidden="1">
      <c r="B290" s="37"/>
      <c r="C290" s="37"/>
      <c r="D290" s="38"/>
      <c r="E290" s="38"/>
      <c r="F290" s="39"/>
      <c r="K290" s="5"/>
      <c r="L290" s="5"/>
      <c r="M290" s="5"/>
      <c r="N290" s="5"/>
      <c r="O290" s="5"/>
      <c r="P290" s="5"/>
    </row>
    <row r="291" spans="2:16" s="8" customFormat="1" ht="16.5" hidden="1">
      <c r="B291" s="37"/>
      <c r="C291" s="37"/>
      <c r="D291" s="38"/>
      <c r="E291" s="38"/>
      <c r="F291" s="39"/>
      <c r="K291" s="5"/>
      <c r="L291" s="5"/>
      <c r="M291" s="5"/>
      <c r="N291" s="5"/>
      <c r="O291" s="5"/>
      <c r="P291" s="5"/>
    </row>
    <row r="292" spans="2:16" s="8" customFormat="1" ht="16.5" hidden="1">
      <c r="B292" s="37"/>
      <c r="C292" s="37"/>
      <c r="D292" s="38"/>
      <c r="E292" s="38"/>
      <c r="F292" s="39"/>
      <c r="K292" s="5"/>
      <c r="L292" s="5"/>
      <c r="M292" s="5"/>
      <c r="N292" s="5"/>
      <c r="O292" s="5"/>
      <c r="P292" s="5"/>
    </row>
    <row r="293" spans="2:16" s="8" customFormat="1" ht="16.5" hidden="1">
      <c r="B293" s="37"/>
      <c r="C293" s="37"/>
      <c r="D293" s="38"/>
      <c r="E293" s="38"/>
      <c r="F293" s="39"/>
      <c r="K293" s="5"/>
      <c r="L293" s="5"/>
      <c r="M293" s="5"/>
      <c r="N293" s="5"/>
      <c r="O293" s="5"/>
      <c r="P293" s="5"/>
    </row>
    <row r="294" spans="2:16" s="8" customFormat="1" ht="16.5" hidden="1">
      <c r="B294" s="37"/>
      <c r="C294" s="37"/>
      <c r="D294" s="38"/>
      <c r="E294" s="38"/>
      <c r="F294" s="39"/>
      <c r="K294" s="5"/>
      <c r="L294" s="5"/>
      <c r="M294" s="5"/>
      <c r="N294" s="5"/>
      <c r="O294" s="5"/>
      <c r="P294" s="5"/>
    </row>
    <row r="295" spans="2:16" s="8" customFormat="1" ht="16.5" hidden="1">
      <c r="B295" s="37"/>
      <c r="C295" s="37"/>
      <c r="D295" s="38"/>
      <c r="E295" s="38"/>
      <c r="F295" s="39"/>
      <c r="K295" s="5"/>
      <c r="L295" s="5"/>
      <c r="M295" s="5"/>
      <c r="N295" s="5"/>
      <c r="O295" s="5"/>
      <c r="P295" s="5"/>
    </row>
    <row r="296" spans="2:16" s="8" customFormat="1" ht="16.5" hidden="1">
      <c r="B296" s="37"/>
      <c r="C296" s="37"/>
      <c r="D296" s="38"/>
      <c r="E296" s="38"/>
      <c r="F296" s="39"/>
      <c r="K296" s="5"/>
      <c r="L296" s="5"/>
      <c r="M296" s="5"/>
      <c r="N296" s="5"/>
      <c r="O296" s="5"/>
      <c r="P296" s="5"/>
    </row>
    <row r="297" spans="2:16" s="8" customFormat="1" ht="16.5" hidden="1">
      <c r="B297" s="37"/>
      <c r="C297" s="37"/>
      <c r="D297" s="38"/>
      <c r="E297" s="38"/>
      <c r="F297" s="39"/>
      <c r="K297" s="5"/>
      <c r="L297" s="5"/>
      <c r="M297" s="5"/>
      <c r="N297" s="5"/>
      <c r="O297" s="5"/>
      <c r="P297" s="5"/>
    </row>
    <row r="298" spans="2:16" s="8" customFormat="1" ht="16.5" hidden="1">
      <c r="B298" s="37"/>
      <c r="C298" s="37"/>
      <c r="D298" s="38"/>
      <c r="E298" s="38"/>
      <c r="F298" s="39"/>
      <c r="K298" s="5"/>
      <c r="L298" s="5"/>
      <c r="M298" s="5"/>
      <c r="N298" s="5"/>
      <c r="O298" s="5"/>
      <c r="P298" s="5"/>
    </row>
    <row r="299" spans="2:16" s="8" customFormat="1" ht="16.5" hidden="1">
      <c r="B299" s="37"/>
      <c r="C299" s="37"/>
      <c r="D299" s="38"/>
      <c r="E299" s="38"/>
      <c r="F299" s="39"/>
      <c r="K299" s="5"/>
      <c r="L299" s="5"/>
      <c r="M299" s="5"/>
      <c r="N299" s="5"/>
      <c r="O299" s="5"/>
      <c r="P299" s="5"/>
    </row>
    <row r="300" spans="2:16" s="8" customFormat="1" ht="16.5" hidden="1">
      <c r="B300" s="37"/>
      <c r="C300" s="37"/>
      <c r="D300" s="38"/>
      <c r="E300" s="38"/>
      <c r="F300" s="39"/>
      <c r="K300" s="5"/>
      <c r="L300" s="5"/>
      <c r="M300" s="5"/>
      <c r="N300" s="5"/>
      <c r="O300" s="5"/>
      <c r="P300" s="5"/>
    </row>
    <row r="301" spans="2:16" s="8" customFormat="1" ht="16.5" hidden="1">
      <c r="B301" s="37"/>
      <c r="C301" s="37"/>
      <c r="D301" s="38"/>
      <c r="E301" s="38"/>
      <c r="F301" s="39"/>
      <c r="K301" s="5"/>
      <c r="L301" s="5"/>
      <c r="M301" s="5"/>
      <c r="N301" s="5"/>
      <c r="O301" s="5"/>
      <c r="P301" s="5"/>
    </row>
    <row r="302" spans="2:16" s="8" customFormat="1" ht="16.5" hidden="1">
      <c r="B302" s="37"/>
      <c r="C302" s="37"/>
      <c r="D302" s="38"/>
      <c r="E302" s="38"/>
      <c r="F302" s="39"/>
      <c r="K302" s="5"/>
      <c r="L302" s="5"/>
      <c r="M302" s="5"/>
      <c r="N302" s="5"/>
      <c r="O302" s="5"/>
      <c r="P302" s="5"/>
    </row>
    <row r="303" spans="2:16" s="8" customFormat="1" ht="16.5" hidden="1">
      <c r="B303" s="37"/>
      <c r="C303" s="37"/>
      <c r="D303" s="38"/>
      <c r="E303" s="38"/>
      <c r="F303" s="39"/>
      <c r="K303" s="5"/>
      <c r="L303" s="5"/>
      <c r="M303" s="5"/>
      <c r="N303" s="5"/>
      <c r="O303" s="5"/>
      <c r="P303" s="5"/>
    </row>
    <row r="304" spans="2:16" s="8" customFormat="1" ht="16.5" hidden="1">
      <c r="B304" s="37"/>
      <c r="C304" s="37"/>
      <c r="D304" s="38"/>
      <c r="E304" s="38"/>
      <c r="F304" s="39"/>
      <c r="K304" s="5"/>
      <c r="L304" s="5"/>
      <c r="M304" s="5"/>
      <c r="N304" s="5"/>
      <c r="O304" s="5"/>
      <c r="P304" s="5"/>
    </row>
    <row r="305" spans="2:16" s="8" customFormat="1" ht="16.5" hidden="1">
      <c r="B305" s="37"/>
      <c r="C305" s="37"/>
      <c r="D305" s="38"/>
      <c r="E305" s="38"/>
      <c r="F305" s="39"/>
      <c r="K305" s="5"/>
      <c r="L305" s="5"/>
      <c r="M305" s="5"/>
      <c r="N305" s="5"/>
      <c r="O305" s="5"/>
      <c r="P305" s="5"/>
    </row>
    <row r="306" spans="2:16" s="8" customFormat="1" ht="16.5" hidden="1">
      <c r="B306" s="37"/>
      <c r="C306" s="37"/>
      <c r="D306" s="38"/>
      <c r="E306" s="38"/>
      <c r="F306" s="39"/>
      <c r="K306" s="5"/>
      <c r="L306" s="5"/>
      <c r="M306" s="5"/>
      <c r="N306" s="5"/>
      <c r="O306" s="5"/>
      <c r="P306" s="5"/>
    </row>
    <row r="307" spans="2:16" s="8" customFormat="1" ht="16.5" hidden="1">
      <c r="B307" s="37"/>
      <c r="C307" s="37"/>
      <c r="D307" s="38"/>
      <c r="E307" s="38"/>
      <c r="F307" s="39"/>
      <c r="K307" s="5"/>
      <c r="L307" s="5"/>
      <c r="M307" s="5"/>
      <c r="N307" s="5"/>
      <c r="O307" s="5"/>
      <c r="P307" s="5"/>
    </row>
    <row r="308" spans="2:16" s="8" customFormat="1" ht="16.5" hidden="1">
      <c r="B308" s="37"/>
      <c r="C308" s="37"/>
      <c r="D308" s="38"/>
      <c r="E308" s="38"/>
      <c r="F308" s="39"/>
      <c r="K308" s="5"/>
      <c r="L308" s="5"/>
      <c r="M308" s="5"/>
      <c r="N308" s="5"/>
      <c r="O308" s="5"/>
      <c r="P308" s="5"/>
    </row>
    <row r="309" spans="2:16" s="8" customFormat="1" ht="16.5" hidden="1">
      <c r="B309" s="37"/>
      <c r="C309" s="37"/>
      <c r="D309" s="38"/>
      <c r="E309" s="38"/>
      <c r="F309" s="39"/>
      <c r="K309" s="5"/>
      <c r="L309" s="5"/>
      <c r="M309" s="5"/>
      <c r="N309" s="5"/>
      <c r="O309" s="5"/>
      <c r="P309" s="5"/>
    </row>
    <row r="310" spans="2:16" s="8" customFormat="1" ht="16.5" hidden="1">
      <c r="B310" s="37"/>
      <c r="C310" s="37"/>
      <c r="D310" s="38"/>
      <c r="E310" s="38"/>
      <c r="F310" s="39"/>
      <c r="K310" s="5"/>
      <c r="L310" s="5"/>
      <c r="M310" s="5"/>
      <c r="N310" s="5"/>
      <c r="O310" s="5"/>
      <c r="P310" s="5"/>
    </row>
    <row r="311" spans="2:16" s="8" customFormat="1" ht="16.5" hidden="1">
      <c r="B311" s="37"/>
      <c r="C311" s="37"/>
      <c r="D311" s="38"/>
      <c r="E311" s="38"/>
      <c r="F311" s="39"/>
      <c r="K311" s="5"/>
      <c r="L311" s="5"/>
      <c r="M311" s="5"/>
      <c r="N311" s="5"/>
      <c r="O311" s="5"/>
      <c r="P311" s="5"/>
    </row>
    <row r="312" spans="2:16" s="8" customFormat="1" ht="16.5" hidden="1">
      <c r="B312" s="37"/>
      <c r="C312" s="37"/>
      <c r="D312" s="38"/>
      <c r="E312" s="38"/>
      <c r="F312" s="39"/>
      <c r="K312" s="5"/>
      <c r="L312" s="5"/>
      <c r="M312" s="5"/>
      <c r="N312" s="5"/>
      <c r="O312" s="5"/>
      <c r="P312" s="5"/>
    </row>
    <row r="313" spans="2:16" s="8" customFormat="1" ht="16.5" hidden="1">
      <c r="B313" s="37"/>
      <c r="C313" s="37"/>
      <c r="D313" s="38"/>
      <c r="E313" s="38"/>
      <c r="F313" s="39"/>
      <c r="K313" s="5"/>
      <c r="L313" s="5"/>
      <c r="M313" s="5"/>
      <c r="N313" s="5"/>
      <c r="O313" s="5"/>
      <c r="P313" s="5"/>
    </row>
    <row r="314" spans="2:16" s="8" customFormat="1" ht="16.5" hidden="1">
      <c r="B314" s="37"/>
      <c r="C314" s="37"/>
      <c r="D314" s="38"/>
      <c r="E314" s="38"/>
      <c r="F314" s="39"/>
      <c r="K314" s="5"/>
      <c r="L314" s="5"/>
      <c r="M314" s="5"/>
      <c r="N314" s="5"/>
      <c r="O314" s="5"/>
      <c r="P314" s="5"/>
    </row>
    <row r="315" spans="2:16" s="8" customFormat="1" ht="16.5" hidden="1">
      <c r="B315" s="37"/>
      <c r="C315" s="37"/>
      <c r="D315" s="38"/>
      <c r="E315" s="38"/>
      <c r="F315" s="39"/>
      <c r="K315" s="5"/>
      <c r="L315" s="5"/>
      <c r="M315" s="5"/>
      <c r="N315" s="5"/>
      <c r="O315" s="5"/>
      <c r="P315" s="5"/>
    </row>
    <row r="316" spans="2:16" s="8" customFormat="1" ht="16.5" hidden="1">
      <c r="B316" s="37"/>
      <c r="C316" s="37"/>
      <c r="D316" s="38"/>
      <c r="E316" s="38"/>
      <c r="F316" s="39"/>
      <c r="K316" s="5"/>
      <c r="L316" s="5"/>
      <c r="M316" s="5"/>
      <c r="N316" s="5"/>
      <c r="O316" s="5"/>
      <c r="P316" s="5"/>
    </row>
    <row r="317" spans="2:16" s="8" customFormat="1" ht="16.5" hidden="1">
      <c r="B317" s="37"/>
      <c r="C317" s="37"/>
      <c r="D317" s="38"/>
      <c r="E317" s="38"/>
      <c r="F317" s="39"/>
      <c r="K317" s="5"/>
      <c r="L317" s="5"/>
      <c r="M317" s="5"/>
      <c r="N317" s="5"/>
      <c r="O317" s="5"/>
      <c r="P317" s="5"/>
    </row>
    <row r="318" spans="2:16" s="8" customFormat="1" ht="16.5" hidden="1">
      <c r="B318" s="37"/>
      <c r="C318" s="37"/>
      <c r="D318" s="38"/>
      <c r="E318" s="38"/>
      <c r="F318" s="39"/>
      <c r="K318" s="5"/>
      <c r="L318" s="5"/>
      <c r="M318" s="5"/>
      <c r="N318" s="5"/>
      <c r="O318" s="5"/>
      <c r="P318" s="5"/>
    </row>
    <row r="319" spans="2:16" s="8" customFormat="1" ht="16.5" hidden="1">
      <c r="B319" s="37"/>
      <c r="C319" s="37"/>
      <c r="D319" s="38"/>
      <c r="E319" s="38"/>
      <c r="F319" s="39"/>
      <c r="K319" s="5"/>
      <c r="L319" s="5"/>
      <c r="M319" s="5"/>
      <c r="N319" s="5"/>
      <c r="O319" s="5"/>
      <c r="P319" s="5"/>
    </row>
    <row r="320" spans="2:16" s="8" customFormat="1" ht="16.5" hidden="1">
      <c r="B320" s="37"/>
      <c r="C320" s="37"/>
      <c r="D320" s="38"/>
      <c r="E320" s="38"/>
      <c r="F320" s="39"/>
      <c r="K320" s="5"/>
      <c r="L320" s="5"/>
      <c r="M320" s="5"/>
      <c r="N320" s="5"/>
      <c r="O320" s="5"/>
      <c r="P320" s="5"/>
    </row>
    <row r="321" spans="2:16" s="8" customFormat="1" ht="16.5" hidden="1">
      <c r="B321" s="37"/>
      <c r="C321" s="37"/>
      <c r="D321" s="38"/>
      <c r="E321" s="38"/>
      <c r="F321" s="39"/>
      <c r="K321" s="5"/>
      <c r="L321" s="5"/>
      <c r="M321" s="5"/>
      <c r="N321" s="5"/>
      <c r="O321" s="5"/>
      <c r="P321" s="5"/>
    </row>
    <row r="322" spans="2:16" s="8" customFormat="1" ht="16.5" hidden="1">
      <c r="B322" s="37"/>
      <c r="C322" s="37"/>
      <c r="D322" s="38"/>
      <c r="E322" s="38"/>
      <c r="F322" s="39"/>
      <c r="K322" s="5"/>
      <c r="L322" s="5"/>
      <c r="M322" s="5"/>
      <c r="N322" s="5"/>
      <c r="O322" s="5"/>
      <c r="P322" s="5"/>
    </row>
    <row r="323" spans="2:16" s="8" customFormat="1" ht="16.5" hidden="1">
      <c r="B323" s="37"/>
      <c r="C323" s="37"/>
      <c r="D323" s="38"/>
      <c r="E323" s="38"/>
      <c r="F323" s="39"/>
      <c r="K323" s="5"/>
      <c r="L323" s="5"/>
      <c r="M323" s="5"/>
      <c r="N323" s="5"/>
      <c r="O323" s="5"/>
      <c r="P323" s="5"/>
    </row>
    <row r="324" spans="2:16" s="8" customFormat="1" ht="16.5" hidden="1">
      <c r="B324" s="37"/>
      <c r="C324" s="37"/>
      <c r="D324" s="38"/>
      <c r="E324" s="38"/>
      <c r="F324" s="39"/>
      <c r="K324" s="5"/>
      <c r="L324" s="5"/>
      <c r="M324" s="5"/>
      <c r="N324" s="5"/>
      <c r="O324" s="5"/>
      <c r="P324" s="5"/>
    </row>
    <row r="325" spans="2:16" s="8" customFormat="1" ht="16.5" hidden="1">
      <c r="B325" s="37"/>
      <c r="C325" s="37"/>
      <c r="D325" s="38"/>
      <c r="E325" s="38"/>
      <c r="F325" s="39"/>
      <c r="K325" s="5"/>
      <c r="L325" s="5"/>
      <c r="M325" s="5"/>
      <c r="N325" s="5"/>
      <c r="O325" s="5"/>
      <c r="P325" s="5"/>
    </row>
    <row r="326" spans="2:16" s="8" customFormat="1" ht="16.5" hidden="1">
      <c r="B326" s="37"/>
      <c r="C326" s="37"/>
      <c r="D326" s="38"/>
      <c r="E326" s="38"/>
      <c r="F326" s="39"/>
      <c r="K326" s="5"/>
      <c r="L326" s="5"/>
      <c r="M326" s="5"/>
      <c r="N326" s="5"/>
      <c r="O326" s="5"/>
      <c r="P326" s="5"/>
    </row>
    <row r="327" spans="2:16" s="8" customFormat="1" ht="16.5" hidden="1">
      <c r="B327" s="37"/>
      <c r="C327" s="37"/>
      <c r="D327" s="38"/>
      <c r="E327" s="38"/>
      <c r="F327" s="39"/>
      <c r="K327" s="5"/>
      <c r="L327" s="5"/>
      <c r="M327" s="5"/>
      <c r="N327" s="5"/>
      <c r="O327" s="5"/>
      <c r="P327" s="5"/>
    </row>
    <row r="328" spans="2:16" s="8" customFormat="1" ht="16.5" hidden="1">
      <c r="B328" s="37"/>
      <c r="C328" s="37"/>
      <c r="D328" s="38"/>
      <c r="E328" s="38"/>
      <c r="F328" s="39"/>
      <c r="K328" s="5"/>
      <c r="L328" s="5"/>
      <c r="M328" s="5"/>
      <c r="N328" s="5"/>
      <c r="O328" s="5"/>
      <c r="P328" s="5"/>
    </row>
    <row r="329" spans="2:16" s="8" customFormat="1" ht="16.5" hidden="1">
      <c r="B329" s="37"/>
      <c r="C329" s="37"/>
      <c r="D329" s="38"/>
      <c r="E329" s="38"/>
      <c r="F329" s="39"/>
      <c r="K329" s="5"/>
      <c r="L329" s="5"/>
      <c r="M329" s="5"/>
      <c r="N329" s="5"/>
      <c r="O329" s="5"/>
      <c r="P329" s="5"/>
    </row>
    <row r="330" spans="2:16" s="8" customFormat="1" ht="16.5" hidden="1">
      <c r="B330" s="37"/>
      <c r="C330" s="37"/>
      <c r="D330" s="38"/>
      <c r="E330" s="38"/>
      <c r="F330" s="39"/>
      <c r="K330" s="5"/>
      <c r="L330" s="5"/>
      <c r="M330" s="5"/>
      <c r="N330" s="5"/>
      <c r="O330" s="5"/>
      <c r="P330" s="5"/>
    </row>
    <row r="331" spans="2:16" s="8" customFormat="1" ht="16.5" hidden="1">
      <c r="B331" s="37"/>
      <c r="C331" s="37"/>
      <c r="D331" s="38"/>
      <c r="E331" s="38"/>
      <c r="F331" s="39"/>
      <c r="K331" s="5"/>
      <c r="L331" s="5"/>
      <c r="M331" s="5"/>
      <c r="N331" s="5"/>
      <c r="O331" s="5"/>
      <c r="P331" s="5"/>
    </row>
    <row r="332" spans="2:16" s="8" customFormat="1" ht="16.5" hidden="1">
      <c r="B332" s="37"/>
      <c r="C332" s="37"/>
      <c r="D332" s="38"/>
      <c r="E332" s="38"/>
      <c r="F332" s="39"/>
      <c r="K332" s="5"/>
      <c r="L332" s="5"/>
      <c r="M332" s="5"/>
      <c r="N332" s="5"/>
      <c r="O332" s="5"/>
      <c r="P332" s="5"/>
    </row>
    <row r="333" spans="2:16" s="8" customFormat="1" ht="16.5" hidden="1">
      <c r="B333" s="37"/>
      <c r="C333" s="37"/>
      <c r="D333" s="38"/>
      <c r="E333" s="38"/>
      <c r="F333" s="39"/>
      <c r="K333" s="5"/>
      <c r="L333" s="5"/>
      <c r="M333" s="5"/>
      <c r="N333" s="5"/>
      <c r="O333" s="5"/>
      <c r="P333" s="5"/>
    </row>
    <row r="334" spans="2:16" s="8" customFormat="1" ht="16.5" hidden="1">
      <c r="B334" s="37"/>
      <c r="C334" s="37"/>
      <c r="D334" s="38"/>
      <c r="E334" s="38"/>
      <c r="F334" s="39"/>
      <c r="K334" s="5"/>
      <c r="L334" s="5"/>
      <c r="M334" s="5"/>
      <c r="N334" s="5"/>
      <c r="O334" s="5"/>
      <c r="P334" s="5"/>
    </row>
    <row r="335" spans="2:16" s="8" customFormat="1" ht="16.5" hidden="1">
      <c r="B335" s="37"/>
      <c r="C335" s="37"/>
      <c r="D335" s="38"/>
      <c r="E335" s="38"/>
      <c r="F335" s="39"/>
      <c r="K335" s="5"/>
      <c r="L335" s="5"/>
      <c r="M335" s="5"/>
      <c r="N335" s="5"/>
      <c r="O335" s="5"/>
      <c r="P335" s="5"/>
    </row>
    <row r="336" spans="2:16" s="8" customFormat="1" ht="16.5" hidden="1">
      <c r="B336" s="37"/>
      <c r="C336" s="37"/>
      <c r="D336" s="38"/>
      <c r="E336" s="38"/>
      <c r="F336" s="39"/>
      <c r="K336" s="5"/>
      <c r="L336" s="5"/>
      <c r="M336" s="5"/>
      <c r="N336" s="5"/>
      <c r="O336" s="5"/>
      <c r="P336" s="5"/>
    </row>
    <row r="337" spans="2:16" s="8" customFormat="1" ht="16.5" hidden="1">
      <c r="B337" s="37"/>
      <c r="C337" s="37"/>
      <c r="D337" s="38"/>
      <c r="E337" s="38"/>
      <c r="F337" s="39"/>
      <c r="K337" s="5"/>
      <c r="L337" s="5"/>
      <c r="M337" s="5"/>
      <c r="N337" s="5"/>
      <c r="O337" s="5"/>
      <c r="P337" s="5"/>
    </row>
    <row r="338" spans="2:16" s="8" customFormat="1" ht="16.5" hidden="1">
      <c r="B338" s="37"/>
      <c r="C338" s="37"/>
      <c r="D338" s="38"/>
      <c r="E338" s="38"/>
      <c r="F338" s="39"/>
      <c r="K338" s="5"/>
      <c r="L338" s="5"/>
      <c r="M338" s="5"/>
      <c r="N338" s="5"/>
      <c r="O338" s="5"/>
      <c r="P338" s="5"/>
    </row>
    <row r="339" spans="2:16" s="8" customFormat="1" ht="16.5" hidden="1">
      <c r="B339" s="37"/>
      <c r="C339" s="37"/>
      <c r="D339" s="38"/>
      <c r="E339" s="38"/>
      <c r="F339" s="39"/>
      <c r="K339" s="5"/>
      <c r="L339" s="5"/>
      <c r="M339" s="5"/>
      <c r="N339" s="5"/>
      <c r="O339" s="5"/>
      <c r="P339" s="5"/>
    </row>
    <row r="340" spans="2:16" s="8" customFormat="1" ht="16.5" hidden="1">
      <c r="B340" s="37"/>
      <c r="C340" s="37"/>
      <c r="D340" s="38"/>
      <c r="E340" s="38"/>
      <c r="F340" s="39"/>
      <c r="K340" s="5"/>
      <c r="L340" s="5"/>
      <c r="M340" s="5"/>
      <c r="N340" s="5"/>
      <c r="O340" s="5"/>
      <c r="P340" s="5"/>
    </row>
    <row r="341" spans="2:16" s="8" customFormat="1" ht="16.5" hidden="1">
      <c r="B341" s="37"/>
      <c r="C341" s="37"/>
      <c r="D341" s="38"/>
      <c r="E341" s="38"/>
      <c r="F341" s="39"/>
      <c r="K341" s="5"/>
      <c r="L341" s="5"/>
      <c r="M341" s="5"/>
      <c r="N341" s="5"/>
      <c r="O341" s="5"/>
      <c r="P341" s="5"/>
    </row>
    <row r="342" spans="2:16" s="8" customFormat="1" ht="16.5" hidden="1">
      <c r="B342" s="37"/>
      <c r="C342" s="37"/>
      <c r="D342" s="38"/>
      <c r="E342" s="38"/>
      <c r="F342" s="39"/>
      <c r="K342" s="5"/>
      <c r="L342" s="5"/>
      <c r="M342" s="5"/>
      <c r="N342" s="5"/>
      <c r="O342" s="5"/>
      <c r="P342" s="5"/>
    </row>
    <row r="343" spans="2:16" s="8" customFormat="1" ht="16.5" hidden="1">
      <c r="B343" s="37"/>
      <c r="C343" s="37"/>
      <c r="D343" s="38"/>
      <c r="E343" s="38"/>
      <c r="F343" s="39"/>
      <c r="K343" s="5"/>
      <c r="L343" s="5"/>
      <c r="M343" s="5"/>
      <c r="N343" s="5"/>
      <c r="O343" s="5"/>
      <c r="P343" s="5"/>
    </row>
    <row r="344" spans="2:16" s="8" customFormat="1" ht="16.5" hidden="1">
      <c r="B344" s="37"/>
      <c r="C344" s="37"/>
      <c r="D344" s="38"/>
      <c r="E344" s="38"/>
      <c r="F344" s="39"/>
      <c r="K344" s="5"/>
      <c r="L344" s="5"/>
      <c r="M344" s="5"/>
      <c r="N344" s="5"/>
      <c r="O344" s="5"/>
      <c r="P344" s="5"/>
    </row>
    <row r="345" spans="2:16" s="8" customFormat="1" ht="16.5" hidden="1">
      <c r="B345" s="37"/>
      <c r="C345" s="37"/>
      <c r="D345" s="38"/>
      <c r="E345" s="38"/>
      <c r="F345" s="39"/>
      <c r="K345" s="5"/>
      <c r="L345" s="5"/>
      <c r="M345" s="5"/>
      <c r="N345" s="5"/>
      <c r="O345" s="5"/>
      <c r="P345" s="5"/>
    </row>
    <row r="346" spans="2:16" s="8" customFormat="1" ht="16.5" hidden="1">
      <c r="B346" s="37"/>
      <c r="C346" s="37"/>
      <c r="D346" s="38"/>
      <c r="E346" s="38"/>
      <c r="F346" s="39"/>
      <c r="K346" s="5"/>
      <c r="L346" s="5"/>
      <c r="M346" s="5"/>
      <c r="N346" s="5"/>
      <c r="O346" s="5"/>
      <c r="P346" s="5"/>
    </row>
    <row r="347" spans="2:16" s="8" customFormat="1" ht="16.5" hidden="1">
      <c r="B347" s="37"/>
      <c r="C347" s="37"/>
      <c r="D347" s="38"/>
      <c r="E347" s="38"/>
      <c r="F347" s="39"/>
      <c r="K347" s="5"/>
      <c r="L347" s="5"/>
      <c r="M347" s="5"/>
      <c r="N347" s="5"/>
      <c r="O347" s="5"/>
      <c r="P347" s="5"/>
    </row>
    <row r="348" spans="2:16" s="8" customFormat="1" ht="16.5" hidden="1">
      <c r="B348" s="37"/>
      <c r="C348" s="37"/>
      <c r="D348" s="38"/>
      <c r="E348" s="38"/>
      <c r="F348" s="39"/>
      <c r="K348" s="5"/>
      <c r="L348" s="5"/>
      <c r="M348" s="5"/>
      <c r="N348" s="5"/>
      <c r="O348" s="5"/>
      <c r="P348" s="5"/>
    </row>
    <row r="349" spans="2:16" s="8" customFormat="1" ht="16.5" hidden="1">
      <c r="B349" s="37"/>
      <c r="C349" s="37"/>
      <c r="D349" s="38"/>
      <c r="E349" s="38"/>
      <c r="F349" s="39"/>
      <c r="K349" s="5"/>
      <c r="L349" s="5"/>
      <c r="M349" s="5"/>
      <c r="N349" s="5"/>
      <c r="O349" s="5"/>
      <c r="P349" s="5"/>
    </row>
    <row r="350" spans="2:16" s="8" customFormat="1" ht="16.5" hidden="1">
      <c r="B350" s="37"/>
      <c r="C350" s="37"/>
      <c r="D350" s="38"/>
      <c r="E350" s="38"/>
      <c r="F350" s="39"/>
      <c r="K350" s="5"/>
      <c r="L350" s="5"/>
      <c r="M350" s="5"/>
      <c r="N350" s="5"/>
      <c r="O350" s="5"/>
      <c r="P350" s="5"/>
    </row>
    <row r="351" spans="2:16" s="8" customFormat="1" ht="16.5" hidden="1">
      <c r="B351" s="37"/>
      <c r="C351" s="37"/>
      <c r="D351" s="38"/>
      <c r="E351" s="38"/>
      <c r="F351" s="39"/>
      <c r="K351" s="5"/>
      <c r="L351" s="5"/>
      <c r="M351" s="5"/>
      <c r="N351" s="5"/>
      <c r="O351" s="5"/>
      <c r="P351" s="5"/>
    </row>
    <row r="352" spans="2:16" s="8" customFormat="1" ht="16.5" hidden="1">
      <c r="B352" s="37"/>
      <c r="C352" s="37"/>
      <c r="D352" s="38"/>
      <c r="E352" s="38"/>
      <c r="F352" s="39"/>
      <c r="K352" s="5"/>
      <c r="L352" s="5"/>
      <c r="M352" s="5"/>
      <c r="N352" s="5"/>
      <c r="O352" s="5"/>
      <c r="P352" s="5"/>
    </row>
    <row r="353" spans="2:16" s="8" customFormat="1" ht="16.5" hidden="1">
      <c r="B353" s="37"/>
      <c r="C353" s="37"/>
      <c r="D353" s="38"/>
      <c r="E353" s="38"/>
      <c r="F353" s="39"/>
      <c r="K353" s="5"/>
      <c r="L353" s="5"/>
      <c r="M353" s="5"/>
      <c r="N353" s="5"/>
      <c r="O353" s="5"/>
      <c r="P353" s="5"/>
    </row>
    <row r="354" spans="2:16" s="8" customFormat="1" ht="16.5" hidden="1">
      <c r="B354" s="37"/>
      <c r="C354" s="37"/>
      <c r="D354" s="38"/>
      <c r="E354" s="38"/>
      <c r="F354" s="39"/>
      <c r="K354" s="5"/>
      <c r="L354" s="5"/>
      <c r="M354" s="5"/>
      <c r="N354" s="5"/>
      <c r="O354" s="5"/>
      <c r="P354" s="5"/>
    </row>
    <row r="355" spans="2:16" s="8" customFormat="1" ht="16.5" hidden="1">
      <c r="B355" s="37"/>
      <c r="C355" s="37"/>
      <c r="D355" s="38"/>
      <c r="E355" s="38"/>
      <c r="F355" s="39"/>
      <c r="K355" s="5"/>
      <c r="L355" s="5"/>
      <c r="M355" s="5"/>
      <c r="N355" s="5"/>
      <c r="O355" s="5"/>
      <c r="P355" s="5"/>
    </row>
    <row r="356" spans="2:16" s="8" customFormat="1" ht="16.5" hidden="1">
      <c r="B356" s="37"/>
      <c r="C356" s="37"/>
      <c r="D356" s="38"/>
      <c r="E356" s="38"/>
      <c r="F356" s="39"/>
      <c r="K356" s="5"/>
      <c r="L356" s="5"/>
      <c r="M356" s="5"/>
      <c r="N356" s="5"/>
      <c r="O356" s="5"/>
      <c r="P356" s="5"/>
    </row>
    <row r="357" spans="2:16" s="8" customFormat="1" ht="16.5" hidden="1">
      <c r="B357" s="37"/>
      <c r="C357" s="37"/>
      <c r="D357" s="38"/>
      <c r="E357" s="38"/>
      <c r="F357" s="39"/>
      <c r="K357" s="5"/>
      <c r="L357" s="5"/>
      <c r="M357" s="5"/>
      <c r="N357" s="5"/>
      <c r="O357" s="5"/>
      <c r="P357" s="5"/>
    </row>
    <row r="358" spans="2:16" s="8" customFormat="1" ht="16.5" hidden="1">
      <c r="B358" s="37"/>
      <c r="C358" s="37"/>
      <c r="D358" s="38"/>
      <c r="E358" s="38"/>
      <c r="F358" s="39"/>
      <c r="K358" s="5"/>
      <c r="L358" s="5"/>
      <c r="M358" s="5"/>
      <c r="N358" s="5"/>
      <c r="O358" s="5"/>
      <c r="P358" s="5"/>
    </row>
    <row r="359" spans="2:16" s="8" customFormat="1" ht="16.5" hidden="1">
      <c r="B359" s="37"/>
      <c r="C359" s="37"/>
      <c r="D359" s="38"/>
      <c r="E359" s="38"/>
      <c r="F359" s="39"/>
      <c r="K359" s="5"/>
      <c r="L359" s="5"/>
      <c r="M359" s="5"/>
      <c r="N359" s="5"/>
      <c r="O359" s="5"/>
      <c r="P359" s="5"/>
    </row>
    <row r="360" spans="2:16" s="8" customFormat="1" ht="16.5" hidden="1">
      <c r="B360" s="37"/>
      <c r="C360" s="37"/>
      <c r="D360" s="38"/>
      <c r="E360" s="38"/>
      <c r="F360" s="39"/>
      <c r="K360" s="5"/>
      <c r="L360" s="5"/>
      <c r="M360" s="5"/>
      <c r="N360" s="5"/>
      <c r="O360" s="5"/>
      <c r="P360" s="5"/>
    </row>
    <row r="361" spans="2:16" s="8" customFormat="1" ht="16.5" hidden="1">
      <c r="B361" s="37"/>
      <c r="C361" s="37"/>
      <c r="D361" s="38"/>
      <c r="E361" s="38"/>
      <c r="F361" s="39"/>
      <c r="K361" s="5"/>
      <c r="L361" s="5"/>
      <c r="M361" s="5"/>
      <c r="N361" s="5"/>
      <c r="O361" s="5"/>
      <c r="P361" s="5"/>
    </row>
    <row r="362" spans="2:16" s="8" customFormat="1" ht="16.5" hidden="1">
      <c r="B362" s="37"/>
      <c r="C362" s="37"/>
      <c r="D362" s="38"/>
      <c r="E362" s="38"/>
      <c r="F362" s="39"/>
      <c r="K362" s="5"/>
      <c r="L362" s="5"/>
      <c r="M362" s="5"/>
      <c r="N362" s="5"/>
      <c r="O362" s="5"/>
      <c r="P362" s="5"/>
    </row>
    <row r="363" spans="2:16" s="8" customFormat="1" ht="16.5" hidden="1">
      <c r="B363" s="37"/>
      <c r="C363" s="37"/>
      <c r="D363" s="38"/>
      <c r="E363" s="38"/>
      <c r="F363" s="39"/>
      <c r="K363" s="5"/>
      <c r="L363" s="5"/>
      <c r="M363" s="5"/>
      <c r="N363" s="5"/>
      <c r="O363" s="5"/>
      <c r="P363" s="5"/>
    </row>
    <row r="364" spans="2:16" s="8" customFormat="1" ht="16.5" hidden="1">
      <c r="B364" s="37"/>
      <c r="C364" s="37"/>
      <c r="D364" s="38"/>
      <c r="E364" s="38"/>
      <c r="F364" s="39"/>
      <c r="K364" s="5"/>
      <c r="L364" s="5"/>
      <c r="M364" s="5"/>
      <c r="N364" s="5"/>
      <c r="O364" s="5"/>
      <c r="P364" s="5"/>
    </row>
    <row r="365" spans="2:16" s="8" customFormat="1" ht="16.5" hidden="1">
      <c r="B365" s="37"/>
      <c r="C365" s="37"/>
      <c r="D365" s="38"/>
      <c r="E365" s="38"/>
      <c r="F365" s="39"/>
      <c r="K365" s="5"/>
      <c r="L365" s="5"/>
      <c r="M365" s="5"/>
      <c r="N365" s="5"/>
      <c r="O365" s="5"/>
      <c r="P365" s="5"/>
    </row>
    <row r="366" spans="2:16" s="8" customFormat="1" ht="16.5" hidden="1">
      <c r="B366" s="37"/>
      <c r="C366" s="37"/>
      <c r="D366" s="38"/>
      <c r="E366" s="38"/>
      <c r="F366" s="39"/>
      <c r="K366" s="5"/>
      <c r="L366" s="5"/>
      <c r="M366" s="5"/>
      <c r="N366" s="5"/>
      <c r="O366" s="5"/>
      <c r="P366" s="5"/>
    </row>
    <row r="367" spans="2:16" s="8" customFormat="1" ht="16.5" hidden="1">
      <c r="B367" s="37"/>
      <c r="C367" s="37"/>
      <c r="D367" s="38"/>
      <c r="E367" s="38"/>
      <c r="F367" s="39"/>
      <c r="K367" s="5"/>
      <c r="L367" s="5"/>
      <c r="M367" s="5"/>
      <c r="N367" s="5"/>
      <c r="O367" s="5"/>
      <c r="P367" s="5"/>
    </row>
    <row r="368" spans="2:16" s="8" customFormat="1" ht="16.5" hidden="1">
      <c r="B368" s="37"/>
      <c r="C368" s="37"/>
      <c r="D368" s="38"/>
      <c r="E368" s="38"/>
      <c r="F368" s="39"/>
      <c r="K368" s="5"/>
      <c r="L368" s="5"/>
      <c r="M368" s="5"/>
      <c r="N368" s="5"/>
      <c r="O368" s="5"/>
      <c r="P368" s="5"/>
    </row>
    <row r="369" spans="2:16" s="8" customFormat="1" ht="16.5" hidden="1">
      <c r="B369" s="37"/>
      <c r="C369" s="37"/>
      <c r="D369" s="38"/>
      <c r="E369" s="38"/>
      <c r="F369" s="39"/>
      <c r="K369" s="5"/>
      <c r="L369" s="5"/>
      <c r="M369" s="5"/>
      <c r="N369" s="5"/>
      <c r="O369" s="5"/>
      <c r="P369" s="5"/>
    </row>
    <row r="370" spans="2:16" s="8" customFormat="1" ht="16.5" hidden="1">
      <c r="B370" s="37"/>
      <c r="C370" s="37"/>
      <c r="D370" s="38"/>
      <c r="E370" s="38"/>
      <c r="F370" s="39"/>
      <c r="K370" s="5"/>
      <c r="L370" s="5"/>
      <c r="M370" s="5"/>
      <c r="N370" s="5"/>
      <c r="O370" s="5"/>
      <c r="P370" s="5"/>
    </row>
    <row r="371" spans="2:16" s="8" customFormat="1" ht="16.5" hidden="1">
      <c r="B371" s="37"/>
      <c r="C371" s="37"/>
      <c r="D371" s="38"/>
      <c r="E371" s="38"/>
      <c r="F371" s="39"/>
      <c r="K371" s="5"/>
      <c r="L371" s="5"/>
      <c r="M371" s="5"/>
      <c r="N371" s="5"/>
      <c r="O371" s="5"/>
      <c r="P371" s="5"/>
    </row>
    <row r="372" spans="2:16" s="8" customFormat="1" ht="16.5" hidden="1">
      <c r="B372" s="37"/>
      <c r="C372" s="37"/>
      <c r="D372" s="38"/>
      <c r="E372" s="38"/>
      <c r="F372" s="39"/>
      <c r="K372" s="5"/>
      <c r="L372" s="5"/>
      <c r="M372" s="5"/>
      <c r="N372" s="5"/>
      <c r="O372" s="5"/>
      <c r="P372" s="5"/>
    </row>
    <row r="373" spans="2:16" s="8" customFormat="1" ht="16.5" hidden="1">
      <c r="B373" s="37"/>
      <c r="C373" s="37"/>
      <c r="D373" s="38"/>
      <c r="E373" s="38"/>
      <c r="F373" s="39"/>
      <c r="K373" s="5"/>
      <c r="L373" s="5"/>
      <c r="M373" s="5"/>
      <c r="N373" s="5"/>
      <c r="O373" s="5"/>
      <c r="P373" s="5"/>
    </row>
    <row r="374" spans="2:16" s="8" customFormat="1" ht="16.5" hidden="1">
      <c r="B374" s="37"/>
      <c r="C374" s="37"/>
      <c r="D374" s="38"/>
      <c r="E374" s="38"/>
      <c r="F374" s="39"/>
      <c r="K374" s="5"/>
      <c r="L374" s="5"/>
      <c r="M374" s="5"/>
      <c r="N374" s="5"/>
      <c r="O374" s="5"/>
      <c r="P374" s="5"/>
    </row>
    <row r="375" spans="2:16" s="8" customFormat="1" ht="16.5" hidden="1">
      <c r="B375" s="37"/>
      <c r="C375" s="37"/>
      <c r="D375" s="38"/>
      <c r="E375" s="38"/>
      <c r="F375" s="39"/>
      <c r="K375" s="5"/>
      <c r="L375" s="5"/>
      <c r="M375" s="5"/>
      <c r="N375" s="5"/>
      <c r="O375" s="5"/>
      <c r="P375" s="5"/>
    </row>
    <row r="376" spans="2:16" s="8" customFormat="1" ht="16.5" hidden="1">
      <c r="B376" s="37"/>
      <c r="C376" s="37"/>
      <c r="D376" s="38"/>
      <c r="E376" s="38"/>
      <c r="F376" s="39"/>
      <c r="K376" s="5"/>
      <c r="L376" s="5"/>
      <c r="M376" s="5"/>
      <c r="N376" s="5"/>
      <c r="O376" s="5"/>
      <c r="P376" s="5"/>
    </row>
    <row r="377" spans="2:16" s="8" customFormat="1" ht="16.5" hidden="1">
      <c r="B377" s="37"/>
      <c r="C377" s="37"/>
      <c r="D377" s="38"/>
      <c r="E377" s="38"/>
      <c r="F377" s="39"/>
      <c r="K377" s="5"/>
      <c r="L377" s="5"/>
      <c r="M377" s="5"/>
      <c r="N377" s="5"/>
      <c r="O377" s="5"/>
      <c r="P377" s="5"/>
    </row>
    <row r="378" spans="2:16" s="8" customFormat="1" ht="16.5" hidden="1">
      <c r="B378" s="37"/>
      <c r="C378" s="37"/>
      <c r="D378" s="38"/>
      <c r="E378" s="38"/>
      <c r="F378" s="39"/>
      <c r="K378" s="5"/>
      <c r="L378" s="5"/>
      <c r="M378" s="5"/>
      <c r="N378" s="5"/>
      <c r="O378" s="5"/>
      <c r="P378" s="5"/>
    </row>
    <row r="379" spans="2:16" s="8" customFormat="1" ht="16.5" hidden="1">
      <c r="B379" s="37"/>
      <c r="C379" s="37"/>
      <c r="D379" s="38"/>
      <c r="E379" s="38"/>
      <c r="F379" s="39"/>
      <c r="K379" s="5"/>
      <c r="L379" s="5"/>
      <c r="M379" s="5"/>
      <c r="N379" s="5"/>
      <c r="O379" s="5"/>
      <c r="P379" s="5"/>
    </row>
    <row r="380" spans="2:16" s="8" customFormat="1" ht="16.5" hidden="1">
      <c r="B380" s="37"/>
      <c r="C380" s="37"/>
      <c r="D380" s="38"/>
      <c r="E380" s="38"/>
      <c r="F380" s="39"/>
      <c r="K380" s="5"/>
      <c r="L380" s="5"/>
      <c r="M380" s="5"/>
      <c r="N380" s="5"/>
      <c r="O380" s="5"/>
      <c r="P380" s="5"/>
    </row>
    <row r="381" spans="2:16" s="8" customFormat="1" ht="16.5" hidden="1">
      <c r="B381" s="37"/>
      <c r="C381" s="37"/>
      <c r="D381" s="38"/>
      <c r="E381" s="38"/>
      <c r="F381" s="39"/>
      <c r="K381" s="5"/>
      <c r="L381" s="5"/>
      <c r="M381" s="5"/>
      <c r="N381" s="5"/>
      <c r="O381" s="5"/>
      <c r="P381" s="5"/>
    </row>
    <row r="382" spans="2:16" s="8" customFormat="1" ht="16.5" hidden="1">
      <c r="B382" s="37"/>
      <c r="C382" s="37"/>
      <c r="D382" s="38"/>
      <c r="E382" s="38"/>
      <c r="F382" s="39"/>
      <c r="K382" s="5"/>
      <c r="L382" s="5"/>
      <c r="M382" s="5"/>
      <c r="N382" s="5"/>
      <c r="O382" s="5"/>
      <c r="P382" s="5"/>
    </row>
    <row r="383" spans="2:16" s="8" customFormat="1" ht="16.5" hidden="1">
      <c r="B383" s="37"/>
      <c r="C383" s="37"/>
      <c r="D383" s="38"/>
      <c r="E383" s="38"/>
      <c r="F383" s="39"/>
      <c r="K383" s="5"/>
      <c r="L383" s="5"/>
      <c r="M383" s="5"/>
      <c r="N383" s="5"/>
      <c r="O383" s="5"/>
      <c r="P383" s="5"/>
    </row>
    <row r="384" spans="2:16" s="8" customFormat="1" ht="16.5" hidden="1">
      <c r="B384" s="37"/>
      <c r="C384" s="37"/>
      <c r="D384" s="38"/>
      <c r="E384" s="38"/>
      <c r="F384" s="39"/>
      <c r="K384" s="5"/>
      <c r="L384" s="5"/>
      <c r="M384" s="5"/>
      <c r="N384" s="5"/>
      <c r="O384" s="5"/>
      <c r="P384" s="5"/>
    </row>
    <row r="385" spans="2:16" s="8" customFormat="1" ht="16.5" hidden="1">
      <c r="B385" s="37"/>
      <c r="C385" s="37"/>
      <c r="D385" s="38"/>
      <c r="E385" s="38"/>
      <c r="F385" s="39"/>
      <c r="K385" s="5"/>
      <c r="L385" s="5"/>
      <c r="M385" s="5"/>
      <c r="N385" s="5"/>
      <c r="O385" s="5"/>
      <c r="P385" s="5"/>
    </row>
    <row r="386" spans="2:16" s="8" customFormat="1" ht="16.5" hidden="1">
      <c r="B386" s="37"/>
      <c r="C386" s="37"/>
      <c r="D386" s="38"/>
      <c r="E386" s="38"/>
      <c r="F386" s="39"/>
      <c r="K386" s="5"/>
      <c r="L386" s="5"/>
      <c r="M386" s="5"/>
      <c r="N386" s="5"/>
      <c r="O386" s="5"/>
      <c r="P386" s="5"/>
    </row>
    <row r="387" spans="2:16" s="8" customFormat="1" ht="16.5" hidden="1">
      <c r="B387" s="37"/>
      <c r="C387" s="37"/>
      <c r="D387" s="38"/>
      <c r="E387" s="38"/>
      <c r="F387" s="39"/>
      <c r="K387" s="5"/>
      <c r="L387" s="5"/>
      <c r="M387" s="5"/>
      <c r="N387" s="5"/>
      <c r="O387" s="5"/>
      <c r="P387" s="5"/>
    </row>
    <row r="388" spans="2:16" s="8" customFormat="1" ht="16.5" hidden="1">
      <c r="B388" s="37"/>
      <c r="C388" s="37"/>
      <c r="D388" s="38"/>
      <c r="E388" s="38"/>
      <c r="F388" s="39"/>
      <c r="K388" s="5"/>
      <c r="L388" s="5"/>
      <c r="M388" s="5"/>
      <c r="N388" s="5"/>
      <c r="O388" s="5"/>
      <c r="P388" s="5"/>
    </row>
    <row r="389" spans="2:16" s="8" customFormat="1" ht="16.5" hidden="1">
      <c r="B389" s="37"/>
      <c r="C389" s="37"/>
      <c r="D389" s="38"/>
      <c r="E389" s="38"/>
      <c r="F389" s="39"/>
      <c r="K389" s="5"/>
      <c r="L389" s="5"/>
      <c r="M389" s="5"/>
      <c r="N389" s="5"/>
      <c r="O389" s="5"/>
      <c r="P389" s="5"/>
    </row>
    <row r="390" spans="2:16" s="8" customFormat="1" ht="16.5" hidden="1">
      <c r="B390" s="37"/>
      <c r="C390" s="37"/>
      <c r="D390" s="38"/>
      <c r="E390" s="38"/>
      <c r="F390" s="39"/>
      <c r="K390" s="5"/>
      <c r="L390" s="5"/>
      <c r="M390" s="5"/>
      <c r="N390" s="5"/>
      <c r="O390" s="5"/>
      <c r="P390" s="5"/>
    </row>
    <row r="391" spans="2:16" s="8" customFormat="1" ht="16.5" hidden="1">
      <c r="B391" s="37"/>
      <c r="C391" s="37"/>
      <c r="D391" s="38"/>
      <c r="E391" s="38"/>
      <c r="F391" s="39"/>
      <c r="K391" s="5"/>
      <c r="L391" s="5"/>
      <c r="M391" s="5"/>
      <c r="N391" s="5"/>
      <c r="O391" s="5"/>
      <c r="P391" s="5"/>
    </row>
    <row r="392" spans="2:16" s="8" customFormat="1" ht="16.5" hidden="1">
      <c r="B392" s="37"/>
      <c r="C392" s="37"/>
      <c r="D392" s="38"/>
      <c r="E392" s="38"/>
      <c r="F392" s="39"/>
      <c r="K392" s="5"/>
      <c r="L392" s="5"/>
      <c r="M392" s="5"/>
      <c r="N392" s="5"/>
      <c r="O392" s="5"/>
      <c r="P392" s="5"/>
    </row>
    <row r="393" spans="2:16" s="8" customFormat="1" ht="16.5" hidden="1">
      <c r="B393" s="37"/>
      <c r="C393" s="37"/>
      <c r="D393" s="38"/>
      <c r="E393" s="38"/>
      <c r="F393" s="39"/>
      <c r="K393" s="5"/>
      <c r="L393" s="5"/>
      <c r="M393" s="5"/>
      <c r="N393" s="5"/>
      <c r="O393" s="5"/>
      <c r="P393" s="5"/>
    </row>
    <row r="394" spans="2:16" s="8" customFormat="1" ht="16.5" hidden="1">
      <c r="B394" s="37"/>
      <c r="C394" s="37"/>
      <c r="D394" s="38"/>
      <c r="E394" s="38"/>
      <c r="F394" s="39"/>
      <c r="K394" s="5"/>
      <c r="L394" s="5"/>
      <c r="M394" s="5"/>
      <c r="N394" s="5"/>
      <c r="O394" s="5"/>
      <c r="P394" s="5"/>
    </row>
    <row r="395" spans="2:16" s="8" customFormat="1" ht="16.5" hidden="1">
      <c r="B395" s="37"/>
      <c r="C395" s="37"/>
      <c r="D395" s="38"/>
      <c r="E395" s="38"/>
      <c r="F395" s="39"/>
      <c r="K395" s="5"/>
      <c r="L395" s="5"/>
      <c r="M395" s="5"/>
      <c r="N395" s="5"/>
      <c r="O395" s="5"/>
      <c r="P395" s="5"/>
    </row>
    <row r="396" spans="2:16" s="8" customFormat="1" ht="16.5" hidden="1">
      <c r="B396" s="37"/>
      <c r="C396" s="37"/>
      <c r="D396" s="38"/>
      <c r="E396" s="38"/>
      <c r="F396" s="39"/>
      <c r="K396" s="5"/>
      <c r="L396" s="5"/>
      <c r="M396" s="5"/>
      <c r="N396" s="5"/>
      <c r="O396" s="5"/>
      <c r="P396" s="5"/>
    </row>
    <row r="397" spans="2:16" s="8" customFormat="1" ht="16.5" hidden="1">
      <c r="B397" s="37"/>
      <c r="C397" s="37"/>
      <c r="D397" s="38"/>
      <c r="E397" s="38"/>
      <c r="F397" s="39"/>
      <c r="K397" s="5"/>
      <c r="L397" s="5"/>
      <c r="M397" s="5"/>
      <c r="N397" s="5"/>
      <c r="O397" s="5"/>
      <c r="P397" s="5"/>
    </row>
    <row r="398" spans="2:16" s="8" customFormat="1" ht="16.5" hidden="1">
      <c r="B398" s="37"/>
      <c r="C398" s="37"/>
      <c r="D398" s="38"/>
      <c r="E398" s="38"/>
      <c r="F398" s="39"/>
      <c r="K398" s="5"/>
      <c r="L398" s="5"/>
      <c r="M398" s="5"/>
      <c r="N398" s="5"/>
      <c r="O398" s="5"/>
      <c r="P398" s="5"/>
    </row>
    <row r="399" spans="2:16" s="8" customFormat="1" ht="16.5" hidden="1">
      <c r="B399" s="37"/>
      <c r="C399" s="37"/>
      <c r="D399" s="38"/>
      <c r="E399" s="38"/>
      <c r="F399" s="39"/>
      <c r="K399" s="5"/>
      <c r="L399" s="5"/>
      <c r="M399" s="5"/>
      <c r="N399" s="5"/>
      <c r="O399" s="5"/>
      <c r="P399" s="5"/>
    </row>
    <row r="400" spans="2:16" s="8" customFormat="1" ht="16.5" hidden="1">
      <c r="B400" s="37"/>
      <c r="C400" s="37"/>
      <c r="D400" s="38"/>
      <c r="E400" s="38"/>
      <c r="F400" s="39"/>
      <c r="K400" s="5"/>
      <c r="L400" s="5"/>
      <c r="M400" s="5"/>
      <c r="N400" s="5"/>
      <c r="O400" s="5"/>
      <c r="P400" s="5"/>
    </row>
    <row r="401" spans="2:16" s="8" customFormat="1" ht="16.5" hidden="1">
      <c r="B401" s="37"/>
      <c r="C401" s="37"/>
      <c r="D401" s="38"/>
      <c r="E401" s="38"/>
      <c r="F401" s="39"/>
      <c r="K401" s="5"/>
      <c r="L401" s="5"/>
      <c r="M401" s="5"/>
      <c r="N401" s="5"/>
      <c r="O401" s="5"/>
      <c r="P401" s="5"/>
    </row>
    <row r="402" spans="2:16" s="8" customFormat="1" ht="16.5" hidden="1">
      <c r="B402" s="37"/>
      <c r="C402" s="37"/>
      <c r="D402" s="38"/>
      <c r="E402" s="38"/>
      <c r="F402" s="39"/>
      <c r="K402" s="5"/>
      <c r="L402" s="5"/>
      <c r="M402" s="5"/>
      <c r="N402" s="5"/>
      <c r="O402" s="5"/>
      <c r="P402" s="5"/>
    </row>
    <row r="403" spans="2:16" s="8" customFormat="1" ht="16.5" hidden="1">
      <c r="B403" s="37"/>
      <c r="C403" s="37"/>
      <c r="D403" s="38"/>
      <c r="E403" s="38"/>
      <c r="F403" s="39"/>
      <c r="K403" s="5"/>
      <c r="L403" s="5"/>
      <c r="M403" s="5"/>
      <c r="N403" s="5"/>
      <c r="O403" s="5"/>
      <c r="P403" s="5"/>
    </row>
    <row r="404" spans="2:16" s="8" customFormat="1" ht="16.5" hidden="1">
      <c r="B404" s="37"/>
      <c r="C404" s="37"/>
      <c r="D404" s="38"/>
      <c r="E404" s="38"/>
      <c r="F404" s="39"/>
      <c r="K404" s="5"/>
      <c r="L404" s="5"/>
      <c r="M404" s="5"/>
      <c r="N404" s="5"/>
      <c r="O404" s="5"/>
      <c r="P404" s="5"/>
    </row>
    <row r="405" spans="2:16" s="8" customFormat="1" ht="16.5" hidden="1">
      <c r="B405" s="37"/>
      <c r="C405" s="37"/>
      <c r="D405" s="38"/>
      <c r="E405" s="38"/>
      <c r="F405" s="39"/>
      <c r="K405" s="5"/>
      <c r="L405" s="5"/>
      <c r="M405" s="5"/>
      <c r="N405" s="5"/>
      <c r="O405" s="5"/>
      <c r="P405" s="5"/>
    </row>
    <row r="406" spans="2:16" s="8" customFormat="1" ht="16.5" hidden="1">
      <c r="B406" s="37"/>
      <c r="C406" s="37"/>
      <c r="D406" s="38"/>
      <c r="E406" s="38"/>
      <c r="F406" s="39"/>
      <c r="K406" s="5"/>
      <c r="L406" s="5"/>
      <c r="M406" s="5"/>
      <c r="N406" s="5"/>
      <c r="O406" s="5"/>
      <c r="P406" s="5"/>
    </row>
    <row r="407" spans="2:16" s="8" customFormat="1" ht="16.5" hidden="1">
      <c r="B407" s="37"/>
      <c r="C407" s="37"/>
      <c r="D407" s="38"/>
      <c r="E407" s="38"/>
      <c r="F407" s="39"/>
      <c r="K407" s="5"/>
      <c r="L407" s="5"/>
      <c r="M407" s="5"/>
      <c r="N407" s="5"/>
      <c r="O407" s="5"/>
      <c r="P407" s="5"/>
    </row>
    <row r="408" spans="2:16" s="8" customFormat="1" ht="16.5" hidden="1">
      <c r="B408" s="37"/>
      <c r="C408" s="37"/>
      <c r="D408" s="38"/>
      <c r="E408" s="38"/>
      <c r="F408" s="39"/>
      <c r="K408" s="5"/>
      <c r="L408" s="5"/>
      <c r="M408" s="5"/>
      <c r="N408" s="5"/>
      <c r="O408" s="5"/>
      <c r="P408" s="5"/>
    </row>
    <row r="409" spans="2:16" s="8" customFormat="1" ht="16.5" hidden="1">
      <c r="B409" s="37"/>
      <c r="C409" s="37"/>
      <c r="D409" s="38"/>
      <c r="E409" s="38"/>
      <c r="F409" s="39"/>
      <c r="K409" s="5"/>
      <c r="L409" s="5"/>
      <c r="M409" s="5"/>
      <c r="N409" s="5"/>
      <c r="O409" s="5"/>
      <c r="P409" s="5"/>
    </row>
    <row r="410" spans="2:16" s="8" customFormat="1" ht="16.5" hidden="1">
      <c r="B410" s="37"/>
      <c r="C410" s="37"/>
      <c r="D410" s="38"/>
      <c r="E410" s="38"/>
      <c r="F410" s="39"/>
      <c r="K410" s="5"/>
      <c r="L410" s="5"/>
      <c r="M410" s="5"/>
      <c r="N410" s="5"/>
      <c r="O410" s="5"/>
      <c r="P410" s="5"/>
    </row>
    <row r="411" spans="2:16" s="8" customFormat="1" ht="16.5" hidden="1">
      <c r="B411" s="37"/>
      <c r="C411" s="37"/>
      <c r="D411" s="38"/>
      <c r="E411" s="38"/>
      <c r="F411" s="39"/>
      <c r="K411" s="5"/>
      <c r="L411" s="5"/>
      <c r="M411" s="5"/>
      <c r="N411" s="5"/>
      <c r="O411" s="5"/>
      <c r="P411" s="5"/>
    </row>
    <row r="412" spans="2:16" s="8" customFormat="1" ht="16.5" hidden="1">
      <c r="B412" s="37"/>
      <c r="C412" s="37"/>
      <c r="D412" s="38"/>
      <c r="E412" s="38"/>
      <c r="F412" s="39"/>
      <c r="K412" s="5"/>
      <c r="L412" s="5"/>
      <c r="M412" s="5"/>
      <c r="N412" s="5"/>
      <c r="O412" s="5"/>
      <c r="P412" s="5"/>
    </row>
    <row r="413" spans="2:16" s="8" customFormat="1" ht="16.5" hidden="1">
      <c r="B413" s="37"/>
      <c r="C413" s="37"/>
      <c r="D413" s="38"/>
      <c r="E413" s="38"/>
      <c r="F413" s="39"/>
      <c r="K413" s="5"/>
      <c r="L413" s="5"/>
      <c r="M413" s="5"/>
      <c r="N413" s="5"/>
      <c r="O413" s="5"/>
      <c r="P413" s="5"/>
    </row>
    <row r="414" spans="2:16" s="8" customFormat="1" ht="16.5" hidden="1">
      <c r="B414" s="37"/>
      <c r="C414" s="37"/>
      <c r="D414" s="38"/>
      <c r="E414" s="38"/>
      <c r="F414" s="39"/>
      <c r="K414" s="5"/>
      <c r="L414" s="5"/>
      <c r="M414" s="5"/>
      <c r="N414" s="5"/>
      <c r="O414" s="5"/>
      <c r="P414" s="5"/>
    </row>
    <row r="415" spans="2:16" s="8" customFormat="1" ht="16.5" hidden="1">
      <c r="B415" s="37"/>
      <c r="C415" s="37"/>
      <c r="D415" s="38"/>
      <c r="E415" s="38"/>
      <c r="F415" s="39"/>
      <c r="K415" s="5"/>
      <c r="L415" s="5"/>
      <c r="M415" s="5"/>
      <c r="N415" s="5"/>
      <c r="O415" s="5"/>
      <c r="P415" s="5"/>
    </row>
    <row r="416" spans="2:16" s="8" customFormat="1" ht="16.5" hidden="1">
      <c r="B416" s="37"/>
      <c r="C416" s="37"/>
      <c r="D416" s="38"/>
      <c r="E416" s="38"/>
      <c r="F416" s="39"/>
      <c r="K416" s="5"/>
      <c r="L416" s="5"/>
      <c r="M416" s="5"/>
      <c r="N416" s="5"/>
      <c r="O416" s="5"/>
      <c r="P416" s="5"/>
    </row>
    <row r="417" spans="2:16" s="8" customFormat="1" ht="16.5" hidden="1">
      <c r="B417" s="37"/>
      <c r="C417" s="37"/>
      <c r="D417" s="38"/>
      <c r="E417" s="38"/>
      <c r="F417" s="39"/>
      <c r="K417" s="5"/>
      <c r="L417" s="5"/>
      <c r="M417" s="5"/>
      <c r="N417" s="5"/>
      <c r="O417" s="5"/>
      <c r="P417" s="5"/>
    </row>
    <row r="418" spans="2:16" s="8" customFormat="1" ht="16.5" hidden="1">
      <c r="B418" s="37"/>
      <c r="C418" s="37"/>
      <c r="D418" s="38"/>
      <c r="E418" s="38"/>
      <c r="F418" s="39"/>
      <c r="K418" s="5"/>
      <c r="L418" s="5"/>
      <c r="M418" s="5"/>
      <c r="N418" s="5"/>
      <c r="O418" s="5"/>
      <c r="P418" s="5"/>
    </row>
    <row r="419" spans="2:16" s="8" customFormat="1" ht="16.5" hidden="1">
      <c r="B419" s="37"/>
      <c r="C419" s="37"/>
      <c r="D419" s="38"/>
      <c r="E419" s="38"/>
      <c r="F419" s="39"/>
      <c r="K419" s="5"/>
      <c r="L419" s="5"/>
      <c r="M419" s="5"/>
      <c r="N419" s="5"/>
      <c r="O419" s="5"/>
      <c r="P419" s="5"/>
    </row>
    <row r="420" spans="2:16" s="8" customFormat="1" ht="16.5" hidden="1">
      <c r="B420" s="37"/>
      <c r="C420" s="37"/>
      <c r="D420" s="38"/>
      <c r="E420" s="38"/>
      <c r="F420" s="39"/>
      <c r="K420" s="5"/>
      <c r="L420" s="5"/>
      <c r="M420" s="5"/>
      <c r="N420" s="5"/>
      <c r="O420" s="5"/>
      <c r="P420" s="5"/>
    </row>
    <row r="421" spans="2:16" s="8" customFormat="1" ht="16.5" hidden="1">
      <c r="B421" s="37"/>
      <c r="C421" s="37"/>
      <c r="D421" s="38"/>
      <c r="E421" s="38"/>
      <c r="F421" s="39"/>
      <c r="K421" s="5"/>
      <c r="L421" s="5"/>
      <c r="M421" s="5"/>
      <c r="N421" s="5"/>
      <c r="O421" s="5"/>
      <c r="P421" s="5"/>
    </row>
    <row r="422" spans="2:16" s="8" customFormat="1" ht="16.5" hidden="1">
      <c r="B422" s="37"/>
      <c r="C422" s="37"/>
      <c r="D422" s="38"/>
      <c r="E422" s="38"/>
      <c r="F422" s="39"/>
      <c r="K422" s="5"/>
      <c r="L422" s="5"/>
      <c r="M422" s="5"/>
      <c r="N422" s="5"/>
      <c r="O422" s="5"/>
      <c r="P422" s="5"/>
    </row>
    <row r="423" spans="2:16" s="8" customFormat="1" ht="16.5" hidden="1">
      <c r="B423" s="37"/>
      <c r="C423" s="37"/>
      <c r="D423" s="38"/>
      <c r="E423" s="38"/>
      <c r="F423" s="39"/>
      <c r="K423" s="5"/>
      <c r="L423" s="5"/>
      <c r="M423" s="5"/>
      <c r="N423" s="5"/>
      <c r="O423" s="5"/>
      <c r="P423" s="5"/>
    </row>
    <row r="424" spans="2:16" s="8" customFormat="1" ht="16.5" hidden="1">
      <c r="B424" s="37"/>
      <c r="C424" s="37"/>
      <c r="D424" s="38"/>
      <c r="E424" s="38"/>
      <c r="F424" s="39"/>
      <c r="K424" s="5"/>
      <c r="L424" s="5"/>
      <c r="M424" s="5"/>
      <c r="N424" s="5"/>
      <c r="O424" s="5"/>
      <c r="P424" s="5"/>
    </row>
    <row r="425" spans="2:16" s="8" customFormat="1" ht="16.5" hidden="1">
      <c r="B425" s="37"/>
      <c r="C425" s="37"/>
      <c r="D425" s="38"/>
      <c r="E425" s="38"/>
      <c r="F425" s="39"/>
      <c r="K425" s="5"/>
      <c r="L425" s="5"/>
      <c r="M425" s="5"/>
      <c r="N425" s="5"/>
      <c r="O425" s="5"/>
      <c r="P425" s="5"/>
    </row>
    <row r="426" spans="2:16" s="8" customFormat="1" ht="16.5" hidden="1">
      <c r="B426" s="37"/>
      <c r="C426" s="37"/>
      <c r="D426" s="38"/>
      <c r="E426" s="38"/>
      <c r="F426" s="39"/>
      <c r="K426" s="5"/>
      <c r="L426" s="5"/>
      <c r="M426" s="5"/>
      <c r="N426" s="5"/>
      <c r="O426" s="5"/>
      <c r="P426" s="5"/>
    </row>
    <row r="427" spans="2:16" s="8" customFormat="1" ht="16.5" hidden="1">
      <c r="B427" s="37"/>
      <c r="C427" s="37"/>
      <c r="D427" s="38"/>
      <c r="E427" s="38"/>
      <c r="F427" s="39"/>
      <c r="K427" s="5"/>
      <c r="L427" s="5"/>
      <c r="M427" s="5"/>
      <c r="N427" s="5"/>
      <c r="O427" s="5"/>
      <c r="P427" s="5"/>
    </row>
    <row r="428" spans="2:16" s="8" customFormat="1" ht="16.5" hidden="1">
      <c r="B428" s="37"/>
      <c r="C428" s="37"/>
      <c r="D428" s="38"/>
      <c r="E428" s="38"/>
      <c r="F428" s="39"/>
      <c r="K428" s="5"/>
      <c r="L428" s="5"/>
      <c r="M428" s="5"/>
      <c r="N428" s="5"/>
      <c r="O428" s="5"/>
      <c r="P428" s="5"/>
    </row>
    <row r="429" spans="2:16" s="8" customFormat="1" ht="16.5" hidden="1">
      <c r="B429" s="37"/>
      <c r="C429" s="37"/>
      <c r="D429" s="38"/>
      <c r="E429" s="38"/>
      <c r="F429" s="39"/>
      <c r="K429" s="5"/>
      <c r="L429" s="5"/>
      <c r="M429" s="5"/>
      <c r="N429" s="5"/>
      <c r="O429" s="5"/>
      <c r="P429" s="5"/>
    </row>
    <row r="430" spans="2:16" s="8" customFormat="1" ht="16.5" hidden="1">
      <c r="B430" s="37"/>
      <c r="C430" s="37"/>
      <c r="D430" s="38"/>
      <c r="E430" s="38"/>
      <c r="F430" s="39"/>
      <c r="K430" s="5"/>
      <c r="L430" s="5"/>
      <c r="M430" s="5"/>
      <c r="N430" s="5"/>
      <c r="O430" s="5"/>
      <c r="P430" s="5"/>
    </row>
    <row r="431" spans="2:16" s="8" customFormat="1" ht="16.5" hidden="1">
      <c r="B431" s="37"/>
      <c r="C431" s="37"/>
      <c r="D431" s="38"/>
      <c r="E431" s="38"/>
      <c r="F431" s="39"/>
      <c r="K431" s="5"/>
      <c r="L431" s="5"/>
      <c r="M431" s="5"/>
      <c r="N431" s="5"/>
      <c r="O431" s="5"/>
      <c r="P431" s="5"/>
    </row>
    <row r="432" spans="2:16" s="8" customFormat="1" ht="16.5" hidden="1">
      <c r="B432" s="37"/>
      <c r="C432" s="37"/>
      <c r="D432" s="38"/>
      <c r="E432" s="38"/>
      <c r="F432" s="39"/>
      <c r="K432" s="5"/>
      <c r="L432" s="5"/>
      <c r="M432" s="5"/>
      <c r="N432" s="5"/>
      <c r="O432" s="5"/>
      <c r="P432" s="5"/>
    </row>
    <row r="433" spans="2:16" s="8" customFormat="1" ht="16.5" hidden="1">
      <c r="B433" s="37"/>
      <c r="C433" s="37"/>
      <c r="D433" s="38"/>
      <c r="E433" s="38"/>
      <c r="F433" s="39"/>
      <c r="K433" s="5"/>
      <c r="L433" s="5"/>
      <c r="M433" s="5"/>
      <c r="N433" s="5"/>
      <c r="O433" s="5"/>
      <c r="P433" s="5"/>
    </row>
    <row r="434" spans="2:16" s="8" customFormat="1" ht="16.5" hidden="1">
      <c r="B434" s="37"/>
      <c r="C434" s="37"/>
      <c r="D434" s="38"/>
      <c r="E434" s="38"/>
      <c r="F434" s="39"/>
      <c r="K434" s="5"/>
      <c r="L434" s="5"/>
      <c r="M434" s="5"/>
      <c r="N434" s="5"/>
      <c r="O434" s="5"/>
      <c r="P434" s="5"/>
    </row>
    <row r="435" spans="2:16" s="8" customFormat="1" ht="16.5" hidden="1">
      <c r="B435" s="37"/>
      <c r="C435" s="37"/>
      <c r="D435" s="38"/>
      <c r="E435" s="38"/>
      <c r="F435" s="39"/>
      <c r="K435" s="5"/>
      <c r="L435" s="5"/>
      <c r="M435" s="5"/>
      <c r="N435" s="5"/>
      <c r="O435" s="5"/>
      <c r="P435" s="5"/>
    </row>
    <row r="436" spans="2:16" s="8" customFormat="1" ht="16.5" hidden="1">
      <c r="B436" s="37"/>
      <c r="C436" s="37"/>
      <c r="D436" s="38"/>
      <c r="E436" s="38"/>
      <c r="F436" s="39"/>
      <c r="K436" s="5"/>
      <c r="L436" s="5"/>
      <c r="M436" s="5"/>
      <c r="N436" s="5"/>
      <c r="O436" s="5"/>
      <c r="P436" s="5"/>
    </row>
    <row r="437" spans="2:16" s="8" customFormat="1" ht="16.5" hidden="1">
      <c r="B437" s="37"/>
      <c r="C437" s="37"/>
      <c r="D437" s="38"/>
      <c r="E437" s="38"/>
      <c r="F437" s="39"/>
      <c r="K437" s="5"/>
      <c r="L437" s="5"/>
      <c r="M437" s="5"/>
      <c r="N437" s="5"/>
      <c r="O437" s="5"/>
      <c r="P437" s="5"/>
    </row>
    <row r="438" spans="2:16" s="8" customFormat="1" ht="16.5" hidden="1">
      <c r="B438" s="37"/>
      <c r="C438" s="37"/>
      <c r="D438" s="38"/>
      <c r="E438" s="38"/>
      <c r="F438" s="39"/>
      <c r="K438" s="5"/>
      <c r="L438" s="5"/>
      <c r="M438" s="5"/>
      <c r="N438" s="5"/>
      <c r="O438" s="5"/>
      <c r="P438" s="5"/>
    </row>
    <row r="439" spans="2:16" s="8" customFormat="1" ht="16.5" hidden="1">
      <c r="B439" s="37"/>
      <c r="C439" s="37"/>
      <c r="D439" s="38"/>
      <c r="E439" s="38"/>
      <c r="F439" s="39"/>
      <c r="K439" s="5"/>
      <c r="L439" s="5"/>
      <c r="M439" s="5"/>
      <c r="N439" s="5"/>
      <c r="O439" s="5"/>
      <c r="P439" s="5"/>
    </row>
    <row r="440" spans="2:16" s="8" customFormat="1" ht="16.5" hidden="1">
      <c r="B440" s="37"/>
      <c r="C440" s="37"/>
      <c r="D440" s="38"/>
      <c r="E440" s="38"/>
      <c r="F440" s="39"/>
      <c r="K440" s="5"/>
      <c r="L440" s="5"/>
      <c r="M440" s="5"/>
      <c r="N440" s="5"/>
      <c r="O440" s="5"/>
      <c r="P440" s="5"/>
    </row>
    <row r="441" spans="2:16" s="8" customFormat="1" ht="16.5" hidden="1">
      <c r="B441" s="37"/>
      <c r="C441" s="37"/>
      <c r="D441" s="38"/>
      <c r="E441" s="38"/>
      <c r="F441" s="39"/>
      <c r="K441" s="5"/>
      <c r="L441" s="5"/>
      <c r="M441" s="5"/>
      <c r="N441" s="5"/>
      <c r="O441" s="5"/>
      <c r="P441" s="5"/>
    </row>
    <row r="442" spans="2:16" s="8" customFormat="1" ht="16.5" hidden="1">
      <c r="B442" s="37"/>
      <c r="C442" s="37"/>
      <c r="D442" s="38"/>
      <c r="E442" s="38"/>
      <c r="F442" s="39"/>
      <c r="K442" s="5"/>
      <c r="L442" s="5"/>
      <c r="M442" s="5"/>
      <c r="N442" s="5"/>
      <c r="O442" s="5"/>
      <c r="P442" s="5"/>
    </row>
    <row r="443" spans="2:16" s="8" customFormat="1" ht="16.5" hidden="1">
      <c r="B443" s="37"/>
      <c r="C443" s="37"/>
      <c r="D443" s="38"/>
      <c r="E443" s="38"/>
      <c r="F443" s="39"/>
      <c r="K443" s="5"/>
      <c r="L443" s="5"/>
      <c r="M443" s="5"/>
      <c r="N443" s="5"/>
      <c r="O443" s="5"/>
      <c r="P443" s="5"/>
    </row>
    <row r="444" spans="2:16" s="8" customFormat="1" ht="16.5" hidden="1">
      <c r="B444" s="37"/>
      <c r="C444" s="37"/>
      <c r="D444" s="38"/>
      <c r="E444" s="38"/>
      <c r="F444" s="39"/>
      <c r="K444" s="5"/>
      <c r="L444" s="5"/>
      <c r="M444" s="5"/>
      <c r="N444" s="5"/>
      <c r="O444" s="5"/>
      <c r="P444" s="5"/>
    </row>
    <row r="445" spans="2:16" s="8" customFormat="1" ht="16.5" hidden="1">
      <c r="B445" s="37"/>
      <c r="C445" s="37"/>
      <c r="D445" s="38"/>
      <c r="E445" s="38"/>
      <c r="F445" s="39"/>
      <c r="K445" s="5"/>
      <c r="L445" s="5"/>
      <c r="M445" s="5"/>
      <c r="N445" s="5"/>
      <c r="O445" s="5"/>
      <c r="P445" s="5"/>
    </row>
    <row r="446" spans="2:16" s="8" customFormat="1" ht="16.5" hidden="1">
      <c r="B446" s="37"/>
      <c r="C446" s="37"/>
      <c r="D446" s="38"/>
      <c r="E446" s="38"/>
      <c r="F446" s="39"/>
      <c r="K446" s="5"/>
      <c r="L446" s="5"/>
      <c r="M446" s="5"/>
      <c r="N446" s="5"/>
      <c r="O446" s="5"/>
      <c r="P446" s="5"/>
    </row>
    <row r="447" spans="2:16" s="8" customFormat="1" ht="16.5" hidden="1">
      <c r="B447" s="37"/>
      <c r="C447" s="37"/>
      <c r="D447" s="38"/>
      <c r="E447" s="38"/>
      <c r="F447" s="39"/>
      <c r="K447" s="5"/>
      <c r="L447" s="5"/>
      <c r="M447" s="5"/>
      <c r="N447" s="5"/>
      <c r="O447" s="5"/>
      <c r="P447" s="5"/>
    </row>
    <row r="448" spans="2:16" s="8" customFormat="1" ht="16.5" hidden="1">
      <c r="B448" s="37"/>
      <c r="C448" s="37"/>
      <c r="D448" s="38"/>
      <c r="E448" s="38"/>
      <c r="F448" s="39"/>
      <c r="K448" s="5"/>
      <c r="L448" s="5"/>
      <c r="M448" s="5"/>
      <c r="N448" s="5"/>
      <c r="O448" s="5"/>
      <c r="P448" s="5"/>
    </row>
    <row r="449" spans="2:16" s="8" customFormat="1" ht="16.5" hidden="1">
      <c r="B449" s="37"/>
      <c r="C449" s="37"/>
      <c r="D449" s="38"/>
      <c r="E449" s="38"/>
      <c r="F449" s="39"/>
      <c r="K449" s="5"/>
      <c r="L449" s="5"/>
      <c r="M449" s="5"/>
      <c r="N449" s="5"/>
      <c r="O449" s="5"/>
      <c r="P449" s="5"/>
    </row>
    <row r="450" spans="2:16" s="8" customFormat="1" ht="16.5" hidden="1">
      <c r="B450" s="37"/>
      <c r="C450" s="37"/>
      <c r="D450" s="38"/>
      <c r="E450" s="38"/>
      <c r="F450" s="39"/>
      <c r="K450" s="5"/>
      <c r="L450" s="5"/>
      <c r="M450" s="5"/>
      <c r="N450" s="5"/>
      <c r="O450" s="5"/>
      <c r="P450" s="5"/>
    </row>
    <row r="451" spans="2:16" s="8" customFormat="1" ht="16.5" hidden="1">
      <c r="B451" s="37"/>
      <c r="C451" s="37"/>
      <c r="D451" s="38"/>
      <c r="E451" s="38"/>
      <c r="F451" s="39"/>
      <c r="K451" s="5"/>
      <c r="L451" s="5"/>
      <c r="M451" s="5"/>
      <c r="N451" s="5"/>
      <c r="O451" s="5"/>
      <c r="P451" s="5"/>
    </row>
    <row r="452" spans="2:16" s="8" customFormat="1" ht="16.5" hidden="1">
      <c r="B452" s="37"/>
      <c r="C452" s="37"/>
      <c r="D452" s="38"/>
      <c r="E452" s="38"/>
      <c r="F452" s="39"/>
      <c r="K452" s="5"/>
      <c r="L452" s="5"/>
      <c r="M452" s="5"/>
      <c r="N452" s="5"/>
      <c r="O452" s="5"/>
      <c r="P452" s="5"/>
    </row>
    <row r="453" spans="2:16" s="8" customFormat="1" ht="16.5" hidden="1">
      <c r="B453" s="37"/>
      <c r="C453" s="37"/>
      <c r="D453" s="38"/>
      <c r="E453" s="38"/>
      <c r="F453" s="39"/>
      <c r="K453" s="5"/>
      <c r="L453" s="5"/>
      <c r="M453" s="5"/>
      <c r="N453" s="5"/>
      <c r="O453" s="5"/>
      <c r="P453" s="5"/>
    </row>
    <row r="454" spans="2:16" s="8" customFormat="1" ht="16.5" hidden="1">
      <c r="B454" s="37"/>
      <c r="C454" s="37"/>
      <c r="D454" s="38"/>
      <c r="E454" s="38"/>
      <c r="F454" s="39"/>
      <c r="K454" s="5"/>
      <c r="L454" s="5"/>
      <c r="M454" s="5"/>
      <c r="N454" s="5"/>
      <c r="O454" s="5"/>
      <c r="P454" s="5"/>
    </row>
    <row r="455" spans="2:16" s="8" customFormat="1" ht="16.5" hidden="1">
      <c r="B455" s="37"/>
      <c r="C455" s="37"/>
      <c r="D455" s="38"/>
      <c r="E455" s="38"/>
      <c r="F455" s="39"/>
      <c r="K455" s="5"/>
      <c r="L455" s="5"/>
      <c r="M455" s="5"/>
      <c r="N455" s="5"/>
      <c r="O455" s="5"/>
      <c r="P455" s="5"/>
    </row>
    <row r="456" spans="2:16" s="8" customFormat="1" ht="16.5" hidden="1">
      <c r="B456" s="37"/>
      <c r="C456" s="37"/>
      <c r="D456" s="38"/>
      <c r="E456" s="38"/>
      <c r="F456" s="39"/>
      <c r="K456" s="5"/>
      <c r="L456" s="5"/>
      <c r="M456" s="5"/>
      <c r="N456" s="5"/>
      <c r="O456" s="5"/>
      <c r="P456" s="5"/>
    </row>
    <row r="457" spans="2:16" s="8" customFormat="1" ht="16.5" hidden="1">
      <c r="B457" s="37"/>
      <c r="C457" s="37"/>
      <c r="D457" s="38"/>
      <c r="E457" s="38"/>
      <c r="F457" s="39"/>
      <c r="K457" s="5"/>
      <c r="L457" s="5"/>
      <c r="M457" s="5"/>
      <c r="N457" s="5"/>
      <c r="O457" s="5"/>
      <c r="P457" s="5"/>
    </row>
    <row r="458" spans="2:16" s="8" customFormat="1" ht="16.5" hidden="1">
      <c r="B458" s="37"/>
      <c r="C458" s="37"/>
      <c r="D458" s="38"/>
      <c r="E458" s="38"/>
      <c r="F458" s="39"/>
      <c r="K458" s="5"/>
      <c r="L458" s="5"/>
      <c r="M458" s="5"/>
      <c r="N458" s="5"/>
      <c r="O458" s="5"/>
      <c r="P458" s="5"/>
    </row>
    <row r="459" spans="2:16" s="8" customFormat="1" ht="16.5" hidden="1">
      <c r="B459" s="37"/>
      <c r="C459" s="37"/>
      <c r="D459" s="38"/>
      <c r="E459" s="38"/>
      <c r="F459" s="39"/>
      <c r="K459" s="5"/>
      <c r="L459" s="5"/>
      <c r="M459" s="5"/>
      <c r="N459" s="5"/>
      <c r="O459" s="5"/>
      <c r="P459" s="5"/>
    </row>
    <row r="460" spans="2:16" s="8" customFormat="1" ht="16.5" hidden="1">
      <c r="B460" s="37"/>
      <c r="C460" s="37"/>
      <c r="D460" s="38"/>
      <c r="E460" s="38"/>
      <c r="F460" s="39"/>
      <c r="K460" s="5"/>
      <c r="L460" s="5"/>
      <c r="M460" s="5"/>
      <c r="N460" s="5"/>
      <c r="O460" s="5"/>
      <c r="P460" s="5"/>
    </row>
    <row r="461" spans="2:16" s="8" customFormat="1" ht="16.5" hidden="1">
      <c r="B461" s="37"/>
      <c r="C461" s="37"/>
      <c r="D461" s="38"/>
      <c r="E461" s="38"/>
      <c r="F461" s="39"/>
      <c r="K461" s="5"/>
      <c r="L461" s="5"/>
      <c r="M461" s="5"/>
      <c r="N461" s="5"/>
      <c r="O461" s="5"/>
      <c r="P461" s="5"/>
    </row>
    <row r="462" spans="2:16" s="8" customFormat="1" ht="16.5" hidden="1">
      <c r="B462" s="37"/>
      <c r="C462" s="37"/>
      <c r="D462" s="38"/>
      <c r="E462" s="38"/>
      <c r="F462" s="39"/>
      <c r="K462" s="5"/>
      <c r="L462" s="5"/>
      <c r="M462" s="5"/>
      <c r="N462" s="5"/>
      <c r="O462" s="5"/>
      <c r="P462" s="5"/>
    </row>
    <row r="463" spans="2:16" s="8" customFormat="1" ht="16.5" hidden="1">
      <c r="B463" s="37"/>
      <c r="C463" s="37"/>
      <c r="D463" s="38"/>
      <c r="E463" s="38"/>
      <c r="F463" s="39"/>
      <c r="K463" s="5"/>
      <c r="L463" s="5"/>
      <c r="M463" s="5"/>
      <c r="N463" s="5"/>
      <c r="O463" s="5"/>
      <c r="P463" s="5"/>
    </row>
    <row r="464" spans="2:16" s="8" customFormat="1" ht="16.5" hidden="1">
      <c r="B464" s="37"/>
      <c r="C464" s="37"/>
      <c r="D464" s="38"/>
      <c r="E464" s="38"/>
      <c r="F464" s="39"/>
      <c r="K464" s="5"/>
      <c r="L464" s="5"/>
      <c r="M464" s="5"/>
      <c r="N464" s="5"/>
      <c r="O464" s="5"/>
      <c r="P464" s="5"/>
    </row>
    <row r="465" spans="2:16" s="8" customFormat="1" ht="16.5" hidden="1">
      <c r="B465" s="37"/>
      <c r="C465" s="37"/>
      <c r="D465" s="38"/>
      <c r="E465" s="38"/>
      <c r="F465" s="39"/>
      <c r="K465" s="5"/>
      <c r="L465" s="5"/>
      <c r="M465" s="5"/>
      <c r="N465" s="5"/>
      <c r="O465" s="5"/>
      <c r="P465" s="5"/>
    </row>
    <row r="466" spans="2:16" s="8" customFormat="1" ht="16.5" hidden="1">
      <c r="B466" s="37"/>
      <c r="C466" s="37"/>
      <c r="D466" s="38"/>
      <c r="E466" s="38"/>
      <c r="F466" s="39"/>
      <c r="K466" s="5"/>
      <c r="L466" s="5"/>
      <c r="M466" s="5"/>
      <c r="N466" s="5"/>
      <c r="O466" s="5"/>
      <c r="P466" s="5"/>
    </row>
    <row r="467" spans="2:16" s="8" customFormat="1" ht="16.5" hidden="1">
      <c r="B467" s="37"/>
      <c r="C467" s="37"/>
      <c r="D467" s="38"/>
      <c r="E467" s="38"/>
      <c r="F467" s="39"/>
      <c r="K467" s="5"/>
      <c r="L467" s="5"/>
      <c r="M467" s="5"/>
      <c r="N467" s="5"/>
      <c r="O467" s="5"/>
      <c r="P467" s="5"/>
    </row>
    <row r="468" spans="2:16" s="8" customFormat="1" ht="16.5" hidden="1">
      <c r="B468" s="37"/>
      <c r="C468" s="37"/>
      <c r="D468" s="38"/>
      <c r="E468" s="38"/>
      <c r="F468" s="39"/>
      <c r="K468" s="5"/>
      <c r="L468" s="5"/>
      <c r="M468" s="5"/>
      <c r="N468" s="5"/>
      <c r="O468" s="5"/>
      <c r="P468" s="5"/>
    </row>
    <row r="469" spans="2:16" s="8" customFormat="1" ht="16.5" hidden="1">
      <c r="B469" s="37"/>
      <c r="C469" s="37"/>
      <c r="D469" s="38"/>
      <c r="E469" s="38"/>
      <c r="F469" s="39"/>
      <c r="K469" s="5"/>
      <c r="L469" s="5"/>
      <c r="M469" s="5"/>
      <c r="N469" s="5"/>
      <c r="O469" s="5"/>
      <c r="P469" s="5"/>
    </row>
    <row r="470" spans="2:16" s="8" customFormat="1" ht="16.5" hidden="1">
      <c r="B470" s="37"/>
      <c r="C470" s="37"/>
      <c r="D470" s="38"/>
      <c r="E470" s="38"/>
      <c r="F470" s="39"/>
      <c r="K470" s="5"/>
      <c r="L470" s="5"/>
      <c r="M470" s="5"/>
      <c r="N470" s="5"/>
      <c r="O470" s="5"/>
      <c r="P470" s="5"/>
    </row>
    <row r="471" spans="2:16" s="8" customFormat="1" ht="16.5" hidden="1">
      <c r="B471" s="37"/>
      <c r="C471" s="37"/>
      <c r="D471" s="38"/>
      <c r="E471" s="38"/>
      <c r="F471" s="39"/>
      <c r="K471" s="5"/>
      <c r="L471" s="5"/>
      <c r="M471" s="5"/>
      <c r="N471" s="5"/>
      <c r="O471" s="5"/>
      <c r="P471" s="5"/>
    </row>
    <row r="472" spans="2:16" s="8" customFormat="1" ht="16.5" hidden="1">
      <c r="B472" s="37"/>
      <c r="C472" s="37"/>
      <c r="D472" s="38"/>
      <c r="E472" s="38"/>
      <c r="F472" s="39"/>
      <c r="K472" s="5"/>
      <c r="L472" s="5"/>
      <c r="M472" s="5"/>
      <c r="N472" s="5"/>
      <c r="O472" s="5"/>
      <c r="P472" s="5"/>
    </row>
    <row r="473" spans="2:16" s="8" customFormat="1" ht="16.5" hidden="1">
      <c r="B473" s="37"/>
      <c r="C473" s="37"/>
      <c r="D473" s="38"/>
      <c r="E473" s="38"/>
      <c r="F473" s="39"/>
      <c r="K473" s="5"/>
      <c r="L473" s="5"/>
      <c r="M473" s="5"/>
      <c r="N473" s="5"/>
      <c r="O473" s="5"/>
      <c r="P473" s="5"/>
    </row>
    <row r="474" spans="2:16" s="8" customFormat="1" ht="16.5" hidden="1">
      <c r="B474" s="37"/>
      <c r="C474" s="37"/>
      <c r="D474" s="38"/>
      <c r="E474" s="38"/>
      <c r="F474" s="39"/>
      <c r="K474" s="5"/>
      <c r="L474" s="5"/>
      <c r="M474" s="5"/>
      <c r="N474" s="5"/>
      <c r="O474" s="5"/>
      <c r="P474" s="5"/>
    </row>
    <row r="475" spans="2:16" s="8" customFormat="1" ht="16.5" hidden="1">
      <c r="B475" s="37"/>
      <c r="C475" s="37"/>
      <c r="D475" s="38"/>
      <c r="E475" s="38"/>
      <c r="F475" s="39"/>
      <c r="K475" s="5"/>
      <c r="L475" s="5"/>
      <c r="M475" s="5"/>
      <c r="N475" s="5"/>
      <c r="O475" s="5"/>
      <c r="P475" s="5"/>
    </row>
    <row r="476" spans="2:16" s="8" customFormat="1" ht="16.5" hidden="1">
      <c r="B476" s="37"/>
      <c r="C476" s="37"/>
      <c r="D476" s="38"/>
      <c r="E476" s="38"/>
      <c r="F476" s="39"/>
      <c r="K476" s="5"/>
      <c r="L476" s="5"/>
      <c r="M476" s="5"/>
      <c r="N476" s="5"/>
      <c r="O476" s="5"/>
      <c r="P476" s="5"/>
    </row>
    <row r="477" spans="2:16" s="8" customFormat="1" ht="16.5" hidden="1">
      <c r="B477" s="37"/>
      <c r="C477" s="37"/>
      <c r="D477" s="38"/>
      <c r="E477" s="38"/>
      <c r="F477" s="39"/>
      <c r="K477" s="5"/>
      <c r="L477" s="5"/>
      <c r="M477" s="5"/>
      <c r="N477" s="5"/>
      <c r="O477" s="5"/>
      <c r="P477" s="5"/>
    </row>
    <row r="478" spans="2:16" s="8" customFormat="1" ht="16.5" hidden="1">
      <c r="B478" s="37"/>
      <c r="C478" s="37"/>
      <c r="D478" s="38"/>
      <c r="E478" s="38"/>
      <c r="F478" s="39"/>
      <c r="K478" s="5"/>
      <c r="L478" s="5"/>
      <c r="M478" s="5"/>
      <c r="N478" s="5"/>
      <c r="O478" s="5"/>
      <c r="P478" s="5"/>
    </row>
    <row r="479" spans="2:16" s="8" customFormat="1" ht="16.5" hidden="1">
      <c r="B479" s="37"/>
      <c r="C479" s="37"/>
      <c r="D479" s="38"/>
      <c r="E479" s="38"/>
      <c r="F479" s="39"/>
      <c r="K479" s="5"/>
      <c r="L479" s="5"/>
      <c r="M479" s="5"/>
      <c r="N479" s="5"/>
      <c r="O479" s="5"/>
      <c r="P479" s="5"/>
    </row>
    <row r="480" spans="2:16" s="8" customFormat="1" ht="16.5" hidden="1">
      <c r="B480" s="37"/>
      <c r="C480" s="37"/>
      <c r="D480" s="38"/>
      <c r="E480" s="38"/>
      <c r="F480" s="39"/>
      <c r="K480" s="5"/>
      <c r="L480" s="5"/>
      <c r="M480" s="5"/>
      <c r="N480" s="5"/>
      <c r="O480" s="5"/>
      <c r="P480" s="5"/>
    </row>
    <row r="481" spans="2:16" s="8" customFormat="1" ht="16.5" hidden="1">
      <c r="B481" s="37"/>
      <c r="C481" s="37"/>
      <c r="D481" s="38"/>
      <c r="E481" s="38"/>
      <c r="F481" s="39"/>
      <c r="K481" s="5"/>
      <c r="L481" s="5"/>
      <c r="M481" s="5"/>
      <c r="N481" s="5"/>
      <c r="O481" s="5"/>
      <c r="P481" s="5"/>
    </row>
    <row r="482" spans="2:16" s="8" customFormat="1" ht="16.5" hidden="1">
      <c r="B482" s="37"/>
      <c r="C482" s="37"/>
      <c r="D482" s="38"/>
      <c r="E482" s="38"/>
      <c r="F482" s="39"/>
      <c r="K482" s="5"/>
      <c r="L482" s="5"/>
      <c r="M482" s="5"/>
      <c r="N482" s="5"/>
      <c r="O482" s="5"/>
      <c r="P482" s="5"/>
    </row>
    <row r="483" spans="2:16" s="8" customFormat="1" ht="16.5" hidden="1">
      <c r="B483" s="37"/>
      <c r="C483" s="37"/>
      <c r="D483" s="38"/>
      <c r="E483" s="38"/>
      <c r="F483" s="39"/>
      <c r="K483" s="5"/>
      <c r="L483" s="5"/>
      <c r="M483" s="5"/>
      <c r="N483" s="5"/>
      <c r="O483" s="5"/>
      <c r="P483" s="5"/>
    </row>
    <row r="484" spans="2:16" s="8" customFormat="1" ht="16.5" hidden="1">
      <c r="B484" s="37"/>
      <c r="C484" s="37"/>
      <c r="D484" s="38"/>
      <c r="E484" s="38"/>
      <c r="F484" s="39"/>
      <c r="K484" s="5"/>
      <c r="L484" s="5"/>
      <c r="M484" s="5"/>
      <c r="N484" s="5"/>
      <c r="O484" s="5"/>
      <c r="P484" s="5"/>
    </row>
    <row r="485" spans="2:16" s="8" customFormat="1" ht="16.5" hidden="1">
      <c r="B485" s="37"/>
      <c r="C485" s="37"/>
      <c r="D485" s="38"/>
      <c r="E485" s="38"/>
      <c r="F485" s="39"/>
      <c r="K485" s="5"/>
      <c r="L485" s="5"/>
      <c r="M485" s="5"/>
      <c r="N485" s="5"/>
      <c r="O485" s="5"/>
      <c r="P485" s="5"/>
    </row>
    <row r="486" spans="2:16" s="8" customFormat="1" ht="16.5" hidden="1">
      <c r="B486" s="37"/>
      <c r="C486" s="37"/>
      <c r="D486" s="38"/>
      <c r="E486" s="38"/>
      <c r="F486" s="39"/>
      <c r="K486" s="5"/>
      <c r="L486" s="5"/>
      <c r="M486" s="5"/>
      <c r="N486" s="5"/>
      <c r="O486" s="5"/>
      <c r="P486" s="5"/>
    </row>
    <row r="487" spans="2:16" s="8" customFormat="1" ht="16.5" hidden="1">
      <c r="B487" s="37"/>
      <c r="C487" s="37"/>
      <c r="D487" s="38"/>
      <c r="E487" s="38"/>
      <c r="F487" s="39"/>
      <c r="K487" s="5"/>
      <c r="L487" s="5"/>
      <c r="M487" s="5"/>
      <c r="N487" s="5"/>
      <c r="O487" s="5"/>
      <c r="P487" s="5"/>
    </row>
    <row r="488" spans="2:16" s="8" customFormat="1" ht="16.5" hidden="1">
      <c r="B488" s="37"/>
      <c r="C488" s="37"/>
      <c r="D488" s="38"/>
      <c r="E488" s="38"/>
      <c r="F488" s="39"/>
      <c r="K488" s="5"/>
      <c r="L488" s="5"/>
      <c r="M488" s="5"/>
      <c r="N488" s="5"/>
      <c r="O488" s="5"/>
      <c r="P488" s="5"/>
    </row>
    <row r="489" spans="2:16" s="8" customFormat="1" ht="16.5" hidden="1">
      <c r="B489" s="37"/>
      <c r="C489" s="37"/>
      <c r="D489" s="38"/>
      <c r="E489" s="38"/>
      <c r="F489" s="39"/>
      <c r="K489" s="5"/>
      <c r="L489" s="5"/>
      <c r="M489" s="5"/>
      <c r="N489" s="5"/>
      <c r="O489" s="5"/>
      <c r="P489" s="5"/>
    </row>
    <row r="490" spans="2:16" s="8" customFormat="1" ht="16.5" hidden="1">
      <c r="B490" s="37"/>
      <c r="C490" s="37"/>
      <c r="D490" s="38"/>
      <c r="E490" s="38"/>
      <c r="F490" s="39"/>
      <c r="K490" s="5"/>
      <c r="L490" s="5"/>
      <c r="M490" s="5"/>
      <c r="N490" s="5"/>
      <c r="O490" s="5"/>
      <c r="P490" s="5"/>
    </row>
    <row r="491" spans="2:16" s="8" customFormat="1" ht="16.5" hidden="1">
      <c r="B491" s="37"/>
      <c r="C491" s="37"/>
      <c r="D491" s="38"/>
      <c r="E491" s="38"/>
      <c r="F491" s="39"/>
      <c r="K491" s="5"/>
      <c r="L491" s="5"/>
      <c r="M491" s="5"/>
      <c r="N491" s="5"/>
      <c r="O491" s="5"/>
      <c r="P491" s="5"/>
    </row>
    <row r="492" spans="2:16" s="8" customFormat="1" ht="16.5" hidden="1">
      <c r="B492" s="37"/>
      <c r="C492" s="37"/>
      <c r="D492" s="38"/>
      <c r="E492" s="38"/>
      <c r="F492" s="39"/>
      <c r="K492" s="5"/>
      <c r="L492" s="5"/>
      <c r="M492" s="5"/>
      <c r="N492" s="5"/>
      <c r="O492" s="5"/>
      <c r="P492" s="5"/>
    </row>
    <row r="493" spans="2:16" s="8" customFormat="1" ht="16.5" hidden="1">
      <c r="B493" s="37"/>
      <c r="C493" s="37"/>
      <c r="D493" s="38"/>
      <c r="E493" s="38"/>
      <c r="F493" s="39"/>
      <c r="K493" s="5"/>
      <c r="L493" s="5"/>
      <c r="M493" s="5"/>
      <c r="N493" s="5"/>
      <c r="O493" s="5"/>
      <c r="P493" s="5"/>
    </row>
    <row r="494" spans="2:16" s="8" customFormat="1" ht="16.5" hidden="1">
      <c r="B494" s="37"/>
      <c r="C494" s="37"/>
      <c r="D494" s="38"/>
      <c r="E494" s="38"/>
      <c r="F494" s="39"/>
      <c r="K494" s="5"/>
      <c r="L494" s="5"/>
      <c r="M494" s="5"/>
      <c r="N494" s="5"/>
      <c r="O494" s="5"/>
      <c r="P494" s="5"/>
    </row>
    <row r="495" spans="2:16" s="8" customFormat="1" ht="16.5" hidden="1">
      <c r="B495" s="37"/>
      <c r="C495" s="37"/>
      <c r="D495" s="38"/>
      <c r="E495" s="38"/>
      <c r="F495" s="39"/>
      <c r="K495" s="5"/>
      <c r="L495" s="5"/>
      <c r="M495" s="5"/>
      <c r="N495" s="5"/>
      <c r="O495" s="5"/>
      <c r="P495" s="5"/>
    </row>
    <row r="496" spans="2:16" s="8" customFormat="1" ht="16.5" hidden="1">
      <c r="B496" s="37"/>
      <c r="C496" s="37"/>
      <c r="D496" s="38"/>
      <c r="E496" s="38"/>
      <c r="F496" s="39"/>
      <c r="K496" s="5"/>
      <c r="L496" s="5"/>
      <c r="M496" s="5"/>
      <c r="N496" s="5"/>
      <c r="O496" s="5"/>
      <c r="P496" s="5"/>
    </row>
    <row r="497" spans="2:16" s="8" customFormat="1" ht="16.5" hidden="1">
      <c r="B497" s="37"/>
      <c r="C497" s="37"/>
      <c r="D497" s="38"/>
      <c r="E497" s="38"/>
      <c r="F497" s="39"/>
      <c r="K497" s="5"/>
      <c r="L497" s="5"/>
      <c r="M497" s="5"/>
      <c r="N497" s="5"/>
      <c r="O497" s="5"/>
      <c r="P497" s="5"/>
    </row>
    <row r="498" spans="2:16" s="8" customFormat="1" ht="16.5" hidden="1">
      <c r="B498" s="37"/>
      <c r="C498" s="37"/>
      <c r="D498" s="38"/>
      <c r="E498" s="38"/>
      <c r="F498" s="39"/>
      <c r="K498" s="5"/>
      <c r="L498" s="5"/>
      <c r="M498" s="5"/>
      <c r="N498" s="5"/>
      <c r="O498" s="5"/>
      <c r="P498" s="5"/>
    </row>
    <row r="499" spans="2:16" s="8" customFormat="1" ht="16.5" hidden="1">
      <c r="B499" s="37"/>
      <c r="C499" s="37"/>
      <c r="D499" s="38"/>
      <c r="E499" s="38"/>
      <c r="F499" s="39"/>
      <c r="K499" s="5"/>
      <c r="L499" s="5"/>
      <c r="M499" s="5"/>
      <c r="N499" s="5"/>
      <c r="O499" s="5"/>
      <c r="P499" s="5"/>
    </row>
    <row r="500" spans="2:16" s="8" customFormat="1" ht="16.5" hidden="1">
      <c r="B500" s="37"/>
      <c r="C500" s="37"/>
      <c r="D500" s="38"/>
      <c r="E500" s="38"/>
      <c r="F500" s="39"/>
      <c r="K500" s="5"/>
      <c r="L500" s="5"/>
      <c r="M500" s="5"/>
      <c r="N500" s="5"/>
      <c r="O500" s="5"/>
      <c r="P500" s="5"/>
    </row>
    <row r="501" spans="2:16" s="8" customFormat="1" ht="16.5" hidden="1">
      <c r="B501" s="37"/>
      <c r="C501" s="37"/>
      <c r="D501" s="38"/>
      <c r="E501" s="38"/>
      <c r="F501" s="39"/>
      <c r="K501" s="5"/>
      <c r="L501" s="5"/>
      <c r="M501" s="5"/>
      <c r="N501" s="5"/>
      <c r="O501" s="5"/>
      <c r="P501" s="5"/>
    </row>
    <row r="502" spans="2:16" s="8" customFormat="1" ht="16.5" hidden="1">
      <c r="B502" s="37"/>
      <c r="C502" s="37"/>
      <c r="D502" s="38"/>
      <c r="E502" s="38"/>
      <c r="F502" s="39"/>
      <c r="K502" s="5"/>
      <c r="L502" s="5"/>
      <c r="M502" s="5"/>
      <c r="N502" s="5"/>
      <c r="O502" s="5"/>
      <c r="P502" s="5"/>
    </row>
    <row r="503" spans="2:16" s="8" customFormat="1" ht="16.5" hidden="1">
      <c r="B503" s="37"/>
      <c r="C503" s="37"/>
      <c r="D503" s="38"/>
      <c r="E503" s="38"/>
      <c r="F503" s="39"/>
      <c r="K503" s="5"/>
      <c r="L503" s="5"/>
      <c r="M503" s="5"/>
      <c r="N503" s="5"/>
      <c r="O503" s="5"/>
      <c r="P503" s="5"/>
    </row>
    <row r="504" spans="2:16" s="8" customFormat="1" ht="16.5" hidden="1">
      <c r="B504" s="37"/>
      <c r="C504" s="37"/>
      <c r="D504" s="38"/>
      <c r="E504" s="38"/>
      <c r="F504" s="39"/>
      <c r="K504" s="5"/>
      <c r="L504" s="5"/>
      <c r="M504" s="5"/>
      <c r="N504" s="5"/>
      <c r="O504" s="5"/>
      <c r="P504" s="5"/>
    </row>
    <row r="505" spans="2:16" s="8" customFormat="1" ht="16.5" hidden="1">
      <c r="B505" s="37"/>
      <c r="C505" s="37"/>
      <c r="D505" s="38"/>
      <c r="E505" s="38"/>
      <c r="F505" s="39"/>
      <c r="K505" s="5"/>
      <c r="L505" s="5"/>
      <c r="M505" s="5"/>
      <c r="N505" s="5"/>
      <c r="O505" s="5"/>
      <c r="P505" s="5"/>
    </row>
    <row r="506" spans="2:16" s="8" customFormat="1" ht="16.5" hidden="1">
      <c r="B506" s="37"/>
      <c r="C506" s="37"/>
      <c r="D506" s="38"/>
      <c r="E506" s="38"/>
      <c r="F506" s="39"/>
      <c r="K506" s="5"/>
      <c r="L506" s="5"/>
      <c r="M506" s="5"/>
      <c r="N506" s="5"/>
      <c r="O506" s="5"/>
      <c r="P506" s="5"/>
    </row>
    <row r="507" spans="2:16" s="8" customFormat="1" ht="16.5" hidden="1">
      <c r="B507" s="37"/>
      <c r="C507" s="37"/>
      <c r="D507" s="38"/>
      <c r="E507" s="38"/>
      <c r="F507" s="39"/>
      <c r="K507" s="5"/>
      <c r="L507" s="5"/>
      <c r="M507" s="5"/>
      <c r="N507" s="5"/>
      <c r="O507" s="5"/>
      <c r="P507" s="5"/>
    </row>
    <row r="508" spans="2:16" s="8" customFormat="1" ht="16.5" hidden="1">
      <c r="B508" s="37"/>
      <c r="C508" s="37"/>
      <c r="D508" s="38"/>
      <c r="E508" s="38"/>
      <c r="F508" s="39"/>
      <c r="K508" s="5"/>
      <c r="L508" s="5"/>
      <c r="M508" s="5"/>
      <c r="N508" s="5"/>
      <c r="O508" s="5"/>
      <c r="P508" s="5"/>
    </row>
    <row r="509" spans="2:16" s="8" customFormat="1" ht="16.5" hidden="1">
      <c r="B509" s="37"/>
      <c r="C509" s="37"/>
      <c r="D509" s="38"/>
      <c r="E509" s="38"/>
      <c r="F509" s="39"/>
      <c r="K509" s="5"/>
      <c r="L509" s="5"/>
      <c r="M509" s="5"/>
      <c r="N509" s="5"/>
      <c r="O509" s="5"/>
      <c r="P509" s="5"/>
    </row>
    <row r="510" spans="2:16" s="8" customFormat="1" ht="16.5" hidden="1">
      <c r="B510" s="37"/>
      <c r="C510" s="37"/>
      <c r="D510" s="38"/>
      <c r="E510" s="38"/>
      <c r="F510" s="39"/>
      <c r="K510" s="5"/>
      <c r="L510" s="5"/>
      <c r="M510" s="5"/>
      <c r="N510" s="5"/>
      <c r="O510" s="5"/>
      <c r="P510" s="5"/>
    </row>
    <row r="511" spans="2:16" s="8" customFormat="1" ht="16.5" hidden="1">
      <c r="B511" s="37"/>
      <c r="C511" s="37"/>
      <c r="D511" s="38"/>
      <c r="E511" s="38"/>
      <c r="F511" s="39"/>
      <c r="K511" s="5"/>
      <c r="L511" s="5"/>
      <c r="M511" s="5"/>
      <c r="N511" s="5"/>
      <c r="O511" s="5"/>
      <c r="P511" s="5"/>
    </row>
    <row r="512" spans="2:16" s="8" customFormat="1" ht="16.5" hidden="1">
      <c r="B512" s="37"/>
      <c r="C512" s="37"/>
      <c r="D512" s="38"/>
      <c r="E512" s="38"/>
      <c r="F512" s="39"/>
      <c r="K512" s="5"/>
      <c r="L512" s="5"/>
      <c r="M512" s="5"/>
      <c r="N512" s="5"/>
      <c r="O512" s="5"/>
      <c r="P512" s="5"/>
    </row>
    <row r="513" spans="2:16" s="8" customFormat="1" ht="16.5" hidden="1">
      <c r="B513" s="37"/>
      <c r="C513" s="37"/>
      <c r="D513" s="38"/>
      <c r="E513" s="38"/>
      <c r="F513" s="39"/>
      <c r="K513" s="5"/>
      <c r="L513" s="5"/>
      <c r="M513" s="5"/>
      <c r="N513" s="5"/>
      <c r="O513" s="5"/>
      <c r="P513" s="5"/>
    </row>
    <row r="514" spans="2:16" s="8" customFormat="1" ht="16.5" hidden="1">
      <c r="B514" s="37"/>
      <c r="C514" s="37"/>
      <c r="D514" s="38"/>
      <c r="E514" s="38"/>
      <c r="F514" s="39"/>
      <c r="K514" s="5"/>
      <c r="L514" s="5"/>
      <c r="M514" s="5"/>
      <c r="N514" s="5"/>
      <c r="O514" s="5"/>
      <c r="P514" s="5"/>
    </row>
    <row r="515" spans="2:16" s="8" customFormat="1" ht="16.5" hidden="1">
      <c r="B515" s="37"/>
      <c r="C515" s="37"/>
      <c r="D515" s="38"/>
      <c r="E515" s="38"/>
      <c r="F515" s="39"/>
      <c r="K515" s="5"/>
      <c r="L515" s="5"/>
      <c r="M515" s="5"/>
      <c r="N515" s="5"/>
      <c r="O515" s="5"/>
      <c r="P515" s="5"/>
    </row>
    <row r="516" spans="2:16" s="8" customFormat="1" ht="16.5" hidden="1">
      <c r="B516" s="37"/>
      <c r="C516" s="37"/>
      <c r="D516" s="38"/>
      <c r="E516" s="38"/>
      <c r="F516" s="39"/>
      <c r="K516" s="5"/>
      <c r="L516" s="5"/>
      <c r="M516" s="5"/>
      <c r="N516" s="5"/>
      <c r="O516" s="5"/>
      <c r="P516" s="5"/>
    </row>
    <row r="517" spans="2:16" s="8" customFormat="1" ht="16.5" hidden="1">
      <c r="B517" s="37"/>
      <c r="C517" s="37"/>
      <c r="D517" s="38"/>
      <c r="E517" s="38"/>
      <c r="F517" s="39"/>
      <c r="K517" s="5"/>
      <c r="L517" s="5"/>
      <c r="M517" s="5"/>
      <c r="N517" s="5"/>
      <c r="O517" s="5"/>
      <c r="P517" s="5"/>
    </row>
    <row r="518" spans="2:16" s="8" customFormat="1" ht="16.5" hidden="1">
      <c r="B518" s="37"/>
      <c r="C518" s="37"/>
      <c r="D518" s="38"/>
      <c r="E518" s="38"/>
      <c r="F518" s="39"/>
      <c r="K518" s="5"/>
      <c r="L518" s="5"/>
      <c r="M518" s="5"/>
      <c r="N518" s="5"/>
      <c r="O518" s="5"/>
      <c r="P518" s="5"/>
    </row>
    <row r="519" spans="2:16" s="8" customFormat="1" ht="16.5" hidden="1">
      <c r="B519" s="37"/>
      <c r="C519" s="37"/>
      <c r="D519" s="38"/>
      <c r="E519" s="38"/>
      <c r="F519" s="39"/>
      <c r="K519" s="5"/>
      <c r="L519" s="5"/>
      <c r="M519" s="5"/>
      <c r="N519" s="5"/>
      <c r="O519" s="5"/>
      <c r="P519" s="5"/>
    </row>
    <row r="520" spans="2:16" s="8" customFormat="1" ht="16.5" hidden="1">
      <c r="B520" s="37"/>
      <c r="C520" s="37"/>
      <c r="D520" s="38"/>
      <c r="E520" s="38"/>
      <c r="F520" s="39"/>
      <c r="K520" s="5"/>
      <c r="L520" s="5"/>
      <c r="M520" s="5"/>
      <c r="N520" s="5"/>
      <c r="O520" s="5"/>
      <c r="P520" s="5"/>
    </row>
    <row r="521" spans="2:16" s="8" customFormat="1" ht="16.5" hidden="1">
      <c r="B521" s="37"/>
      <c r="C521" s="37"/>
      <c r="D521" s="38"/>
      <c r="E521" s="38"/>
      <c r="F521" s="39"/>
      <c r="K521" s="5"/>
      <c r="L521" s="5"/>
      <c r="M521" s="5"/>
      <c r="N521" s="5"/>
      <c r="O521" s="5"/>
      <c r="P521" s="5"/>
    </row>
    <row r="522" spans="2:16" s="8" customFormat="1" ht="16.5" hidden="1">
      <c r="B522" s="37"/>
      <c r="C522" s="37"/>
      <c r="D522" s="38"/>
      <c r="E522" s="38"/>
      <c r="F522" s="39"/>
      <c r="K522" s="5"/>
      <c r="L522" s="5"/>
      <c r="M522" s="5"/>
      <c r="N522" s="5"/>
      <c r="O522" s="5"/>
      <c r="P522" s="5"/>
    </row>
    <row r="523" spans="2:16" s="8" customFormat="1" ht="16.5" hidden="1">
      <c r="B523" s="37"/>
      <c r="C523" s="37"/>
      <c r="D523" s="38"/>
      <c r="E523" s="38"/>
      <c r="F523" s="39"/>
      <c r="K523" s="5"/>
      <c r="L523" s="5"/>
      <c r="M523" s="5"/>
      <c r="N523" s="5"/>
      <c r="O523" s="5"/>
      <c r="P523" s="5"/>
    </row>
    <row r="524" spans="2:16" s="8" customFormat="1" ht="16.5" hidden="1">
      <c r="B524" s="37"/>
      <c r="C524" s="37"/>
      <c r="D524" s="38"/>
      <c r="E524" s="38"/>
      <c r="F524" s="39"/>
      <c r="K524" s="5"/>
      <c r="L524" s="5"/>
      <c r="M524" s="5"/>
      <c r="N524" s="5"/>
      <c r="O524" s="5"/>
      <c r="P524" s="5"/>
    </row>
    <row r="525" spans="2:16" s="8" customFormat="1" ht="16.5" hidden="1">
      <c r="B525" s="37"/>
      <c r="C525" s="37"/>
      <c r="D525" s="38"/>
      <c r="E525" s="38"/>
      <c r="F525" s="39"/>
      <c r="K525" s="5"/>
      <c r="L525" s="5"/>
      <c r="M525" s="5"/>
      <c r="N525" s="5"/>
      <c r="O525" s="5"/>
      <c r="P525" s="5"/>
    </row>
    <row r="526" spans="2:16" s="8" customFormat="1" ht="16.5" hidden="1">
      <c r="B526" s="37"/>
      <c r="C526" s="37"/>
      <c r="D526" s="38"/>
      <c r="E526" s="38"/>
      <c r="F526" s="39"/>
      <c r="K526" s="5"/>
      <c r="L526" s="5"/>
      <c r="M526" s="5"/>
      <c r="N526" s="5"/>
      <c r="O526" s="5"/>
      <c r="P526" s="5"/>
    </row>
    <row r="527" spans="2:16" s="8" customFormat="1" ht="16.5" hidden="1">
      <c r="B527" s="37"/>
      <c r="C527" s="37"/>
      <c r="D527" s="38"/>
      <c r="E527" s="38"/>
      <c r="F527" s="39"/>
      <c r="K527" s="5"/>
      <c r="L527" s="5"/>
      <c r="M527" s="5"/>
      <c r="N527" s="5"/>
      <c r="O527" s="5"/>
      <c r="P527" s="5"/>
    </row>
    <row r="528" spans="2:16" s="8" customFormat="1" ht="16.5" hidden="1">
      <c r="B528" s="37"/>
      <c r="C528" s="37"/>
      <c r="D528" s="38"/>
      <c r="E528" s="38"/>
      <c r="F528" s="39"/>
      <c r="K528" s="5"/>
      <c r="L528" s="5"/>
      <c r="M528" s="5"/>
      <c r="N528" s="5"/>
      <c r="O528" s="5"/>
      <c r="P528" s="5"/>
    </row>
    <row r="529" spans="2:16" s="8" customFormat="1" ht="16.5" hidden="1">
      <c r="B529" s="37"/>
      <c r="C529" s="37"/>
      <c r="D529" s="38"/>
      <c r="E529" s="38"/>
      <c r="F529" s="39"/>
      <c r="K529" s="5"/>
      <c r="L529" s="5"/>
      <c r="M529" s="5"/>
      <c r="N529" s="5"/>
      <c r="O529" s="5"/>
      <c r="P529" s="5"/>
    </row>
    <row r="530" spans="2:16" s="8" customFormat="1" ht="16.5" hidden="1">
      <c r="B530" s="37"/>
      <c r="C530" s="37"/>
      <c r="D530" s="38"/>
      <c r="E530" s="38"/>
      <c r="F530" s="39"/>
      <c r="K530" s="5"/>
      <c r="L530" s="5"/>
      <c r="M530" s="5"/>
      <c r="N530" s="5"/>
      <c r="O530" s="5"/>
      <c r="P530" s="5"/>
    </row>
    <row r="531" spans="2:16" s="8" customFormat="1" ht="16.5" hidden="1">
      <c r="B531" s="37"/>
      <c r="C531" s="37"/>
      <c r="D531" s="38"/>
      <c r="E531" s="38"/>
      <c r="F531" s="39"/>
      <c r="K531" s="5"/>
      <c r="L531" s="5"/>
      <c r="M531" s="5"/>
      <c r="N531" s="5"/>
      <c r="O531" s="5"/>
      <c r="P531" s="5"/>
    </row>
    <row r="532" spans="2:16" s="8" customFormat="1" ht="16.5" hidden="1">
      <c r="B532" s="37"/>
      <c r="C532" s="37"/>
      <c r="D532" s="38"/>
      <c r="E532" s="38"/>
      <c r="F532" s="39"/>
      <c r="K532" s="5"/>
      <c r="L532" s="5"/>
      <c r="M532" s="5"/>
      <c r="N532" s="5"/>
      <c r="O532" s="5"/>
      <c r="P532" s="5"/>
    </row>
    <row r="533" spans="2:16" s="8" customFormat="1" ht="16.5" hidden="1">
      <c r="B533" s="37"/>
      <c r="C533" s="37"/>
      <c r="D533" s="38"/>
      <c r="E533" s="38"/>
      <c r="F533" s="39"/>
      <c r="K533" s="5"/>
      <c r="L533" s="5"/>
      <c r="M533" s="5"/>
      <c r="N533" s="5"/>
      <c r="O533" s="5"/>
      <c r="P533" s="5"/>
    </row>
    <row r="534" spans="2:16" s="8" customFormat="1" ht="16.5" hidden="1">
      <c r="B534" s="37"/>
      <c r="C534" s="37"/>
      <c r="D534" s="38"/>
      <c r="E534" s="38"/>
      <c r="F534" s="39"/>
      <c r="K534" s="5"/>
      <c r="L534" s="5"/>
      <c r="M534" s="5"/>
      <c r="N534" s="5"/>
      <c r="O534" s="5"/>
      <c r="P534" s="5"/>
    </row>
    <row r="535" spans="2:16" s="8" customFormat="1" ht="16.5" hidden="1">
      <c r="B535" s="37"/>
      <c r="C535" s="37"/>
      <c r="D535" s="38"/>
      <c r="E535" s="38"/>
      <c r="F535" s="39"/>
      <c r="K535" s="5"/>
      <c r="L535" s="5"/>
      <c r="M535" s="5"/>
      <c r="N535" s="5"/>
      <c r="O535" s="5"/>
      <c r="P535" s="5"/>
    </row>
    <row r="536" spans="2:16" s="8" customFormat="1" ht="16.5" hidden="1">
      <c r="B536" s="37"/>
      <c r="C536" s="37"/>
      <c r="D536" s="38"/>
      <c r="E536" s="38"/>
      <c r="F536" s="39"/>
      <c r="K536" s="5"/>
      <c r="L536" s="5"/>
      <c r="M536" s="5"/>
      <c r="N536" s="5"/>
      <c r="O536" s="5"/>
      <c r="P536" s="5"/>
    </row>
    <row r="537" spans="2:16" s="8" customFormat="1" ht="16.5" hidden="1">
      <c r="B537" s="37"/>
      <c r="C537" s="37"/>
      <c r="D537" s="38"/>
      <c r="E537" s="38"/>
      <c r="F537" s="39"/>
      <c r="K537" s="5"/>
      <c r="L537" s="5"/>
      <c r="M537" s="5"/>
      <c r="N537" s="5"/>
      <c r="O537" s="5"/>
      <c r="P537" s="5"/>
    </row>
    <row r="538" spans="2:16" s="8" customFormat="1" ht="16.5" hidden="1">
      <c r="B538" s="37"/>
      <c r="C538" s="37"/>
      <c r="D538" s="38"/>
      <c r="E538" s="38"/>
      <c r="F538" s="39"/>
      <c r="K538" s="5"/>
      <c r="L538" s="5"/>
      <c r="M538" s="5"/>
      <c r="N538" s="5"/>
      <c r="O538" s="5"/>
      <c r="P538" s="5"/>
    </row>
    <row r="539" spans="2:16" s="8" customFormat="1" ht="16.5" hidden="1">
      <c r="B539" s="37"/>
      <c r="C539" s="37"/>
      <c r="D539" s="38"/>
      <c r="E539" s="38"/>
      <c r="F539" s="39"/>
      <c r="K539" s="5"/>
      <c r="L539" s="5"/>
      <c r="M539" s="5"/>
      <c r="N539" s="5"/>
      <c r="O539" s="5"/>
      <c r="P539" s="5"/>
    </row>
    <row r="540" spans="2:16" s="8" customFormat="1" ht="16.5" hidden="1">
      <c r="B540" s="37"/>
      <c r="C540" s="37"/>
      <c r="D540" s="38"/>
      <c r="E540" s="38"/>
      <c r="F540" s="39"/>
      <c r="K540" s="5"/>
      <c r="L540" s="5"/>
      <c r="M540" s="5"/>
      <c r="N540" s="5"/>
      <c r="O540" s="5"/>
      <c r="P540" s="5"/>
    </row>
    <row r="541" spans="2:16" s="8" customFormat="1" ht="16.5" hidden="1">
      <c r="B541" s="37"/>
      <c r="C541" s="37"/>
      <c r="D541" s="38"/>
      <c r="E541" s="38"/>
      <c r="F541" s="39"/>
      <c r="K541" s="5"/>
      <c r="L541" s="5"/>
      <c r="M541" s="5"/>
      <c r="N541" s="5"/>
      <c r="O541" s="5"/>
      <c r="P541" s="5"/>
    </row>
    <row r="542" spans="2:16" s="8" customFormat="1" ht="16.5" hidden="1">
      <c r="B542" s="37"/>
      <c r="C542" s="37"/>
      <c r="D542" s="38"/>
      <c r="E542" s="38"/>
      <c r="F542" s="39"/>
      <c r="K542" s="5"/>
      <c r="L542" s="5"/>
      <c r="M542" s="5"/>
      <c r="N542" s="5"/>
      <c r="O542" s="5"/>
      <c r="P542" s="5"/>
    </row>
    <row r="543" spans="2:16" s="8" customFormat="1" ht="16.5" hidden="1">
      <c r="B543" s="37"/>
      <c r="C543" s="37"/>
      <c r="D543" s="38"/>
      <c r="E543" s="38"/>
      <c r="F543" s="39"/>
      <c r="K543" s="5"/>
      <c r="L543" s="5"/>
      <c r="M543" s="5"/>
      <c r="N543" s="5"/>
      <c r="O543" s="5"/>
      <c r="P543" s="5"/>
    </row>
    <row r="544" spans="2:16" s="8" customFormat="1" ht="16.5" hidden="1">
      <c r="B544" s="37"/>
      <c r="C544" s="37"/>
      <c r="D544" s="38"/>
      <c r="E544" s="38"/>
      <c r="F544" s="39"/>
      <c r="K544" s="5"/>
      <c r="L544" s="5"/>
      <c r="M544" s="5"/>
      <c r="N544" s="5"/>
      <c r="O544" s="5"/>
      <c r="P544" s="5"/>
    </row>
    <row r="545" spans="2:16" s="8" customFormat="1" ht="16.5" hidden="1">
      <c r="B545" s="37"/>
      <c r="C545" s="37"/>
      <c r="D545" s="38"/>
      <c r="E545" s="38"/>
      <c r="F545" s="39"/>
      <c r="K545" s="5"/>
      <c r="L545" s="5"/>
      <c r="M545" s="5"/>
      <c r="N545" s="5"/>
      <c r="O545" s="5"/>
      <c r="P545" s="5"/>
    </row>
    <row r="546" spans="2:16" s="8" customFormat="1" ht="16.5" hidden="1">
      <c r="B546" s="37"/>
      <c r="C546" s="37"/>
      <c r="D546" s="38"/>
      <c r="E546" s="38"/>
      <c r="F546" s="39"/>
      <c r="K546" s="5"/>
      <c r="L546" s="5"/>
      <c r="M546" s="5"/>
      <c r="N546" s="5"/>
      <c r="O546" s="5"/>
      <c r="P546" s="5"/>
    </row>
    <row r="547" spans="2:16" s="8" customFormat="1" ht="16.5" hidden="1">
      <c r="B547" s="37"/>
      <c r="C547" s="37"/>
      <c r="D547" s="38"/>
      <c r="E547" s="38"/>
      <c r="F547" s="39"/>
      <c r="K547" s="5"/>
      <c r="L547" s="5"/>
      <c r="M547" s="5"/>
      <c r="N547" s="5"/>
      <c r="O547" s="5"/>
      <c r="P547" s="5"/>
    </row>
    <row r="548" spans="2:16" s="8" customFormat="1" ht="16.5" hidden="1">
      <c r="B548" s="37"/>
      <c r="C548" s="37"/>
      <c r="D548" s="38"/>
      <c r="E548" s="38"/>
      <c r="F548" s="39"/>
      <c r="K548" s="5"/>
      <c r="L548" s="5"/>
      <c r="M548" s="5"/>
      <c r="N548" s="5"/>
      <c r="O548" s="5"/>
      <c r="P548" s="5"/>
    </row>
    <row r="549" spans="2:16" s="8" customFormat="1" ht="16.5" hidden="1">
      <c r="B549" s="37"/>
      <c r="C549" s="37"/>
      <c r="D549" s="38"/>
      <c r="E549" s="38"/>
      <c r="F549" s="39"/>
      <c r="K549" s="5"/>
      <c r="L549" s="5"/>
      <c r="M549" s="5"/>
      <c r="N549" s="5"/>
      <c r="O549" s="5"/>
      <c r="P549" s="5"/>
    </row>
    <row r="550" spans="2:16" s="8" customFormat="1" ht="16.5" hidden="1">
      <c r="B550" s="37"/>
      <c r="C550" s="37"/>
      <c r="D550" s="38"/>
      <c r="E550" s="38"/>
      <c r="F550" s="39"/>
      <c r="K550" s="5"/>
      <c r="L550" s="5"/>
      <c r="M550" s="5"/>
      <c r="N550" s="5"/>
      <c r="O550" s="5"/>
      <c r="P550" s="5"/>
    </row>
    <row r="551" spans="2:16" s="8" customFormat="1" ht="16.5" hidden="1">
      <c r="B551" s="37"/>
      <c r="C551" s="37"/>
      <c r="D551" s="38"/>
      <c r="E551" s="38"/>
      <c r="F551" s="39"/>
      <c r="K551" s="5"/>
      <c r="L551" s="5"/>
      <c r="M551" s="5"/>
      <c r="N551" s="5"/>
      <c r="O551" s="5"/>
      <c r="P551" s="5"/>
    </row>
    <row r="552" spans="2:16" s="8" customFormat="1" ht="16.5" hidden="1">
      <c r="B552" s="37"/>
      <c r="C552" s="37"/>
      <c r="D552" s="38"/>
      <c r="E552" s="38"/>
      <c r="F552" s="39"/>
      <c r="K552" s="5"/>
      <c r="L552" s="5"/>
      <c r="M552" s="5"/>
      <c r="N552" s="5"/>
      <c r="O552" s="5"/>
      <c r="P552" s="5"/>
    </row>
    <row r="553" spans="2:16" s="8" customFormat="1" ht="16.5" hidden="1">
      <c r="B553" s="37"/>
      <c r="C553" s="37"/>
      <c r="D553" s="38"/>
      <c r="E553" s="38"/>
      <c r="F553" s="39"/>
      <c r="K553" s="5"/>
      <c r="L553" s="5"/>
      <c r="M553" s="5"/>
      <c r="N553" s="5"/>
      <c r="O553" s="5"/>
      <c r="P553" s="5"/>
    </row>
    <row r="554" spans="2:16" s="8" customFormat="1" ht="16.5" hidden="1">
      <c r="B554" s="37"/>
      <c r="C554" s="37"/>
      <c r="D554" s="38"/>
      <c r="E554" s="38"/>
      <c r="F554" s="39"/>
      <c r="K554" s="5"/>
      <c r="L554" s="5"/>
      <c r="M554" s="5"/>
      <c r="N554" s="5"/>
      <c r="O554" s="5"/>
      <c r="P554" s="5"/>
    </row>
    <row r="555" spans="2:16" s="8" customFormat="1" ht="16.5" hidden="1">
      <c r="B555" s="37"/>
      <c r="C555" s="37"/>
      <c r="D555" s="38"/>
      <c r="E555" s="38"/>
      <c r="F555" s="39"/>
      <c r="K555" s="5"/>
      <c r="L555" s="5"/>
      <c r="M555" s="5"/>
      <c r="N555" s="5"/>
      <c r="O555" s="5"/>
      <c r="P555" s="5"/>
    </row>
    <row r="556" spans="2:16" s="8" customFormat="1" ht="16.5" hidden="1">
      <c r="B556" s="37"/>
      <c r="C556" s="37"/>
      <c r="D556" s="38"/>
      <c r="E556" s="38"/>
      <c r="F556" s="39"/>
      <c r="K556" s="5"/>
      <c r="L556" s="5"/>
      <c r="M556" s="5"/>
      <c r="N556" s="5"/>
      <c r="O556" s="5"/>
      <c r="P556" s="5"/>
    </row>
    <row r="557" spans="2:16" s="8" customFormat="1" ht="16.5" hidden="1">
      <c r="B557" s="37"/>
      <c r="C557" s="37"/>
      <c r="D557" s="38"/>
      <c r="E557" s="38"/>
      <c r="F557" s="39"/>
      <c r="K557" s="5"/>
      <c r="L557" s="5"/>
      <c r="M557" s="5"/>
      <c r="N557" s="5"/>
      <c r="O557" s="5"/>
      <c r="P557" s="5"/>
    </row>
    <row r="558" spans="2:16" s="8" customFormat="1" ht="16.5" hidden="1">
      <c r="B558" s="37"/>
      <c r="C558" s="37"/>
      <c r="D558" s="38"/>
      <c r="E558" s="38"/>
      <c r="F558" s="39"/>
      <c r="K558" s="5"/>
      <c r="L558" s="5"/>
      <c r="M558" s="5"/>
      <c r="N558" s="5"/>
      <c r="O558" s="5"/>
      <c r="P558" s="5"/>
    </row>
    <row r="559" spans="2:16" s="8" customFormat="1" ht="16.5" hidden="1">
      <c r="B559" s="37"/>
      <c r="C559" s="37"/>
      <c r="D559" s="38"/>
      <c r="E559" s="38"/>
      <c r="F559" s="39"/>
      <c r="K559" s="5"/>
      <c r="L559" s="5"/>
      <c r="M559" s="5"/>
      <c r="N559" s="5"/>
      <c r="O559" s="5"/>
      <c r="P559" s="5"/>
    </row>
    <row r="560" spans="2:16" s="8" customFormat="1" ht="16.5" hidden="1">
      <c r="B560" s="37"/>
      <c r="C560" s="37"/>
      <c r="D560" s="38"/>
      <c r="E560" s="38"/>
      <c r="F560" s="39"/>
      <c r="K560" s="5"/>
      <c r="L560" s="5"/>
      <c r="M560" s="5"/>
      <c r="N560" s="5"/>
      <c r="O560" s="5"/>
      <c r="P560" s="5"/>
    </row>
    <row r="561" spans="2:16" s="8" customFormat="1" ht="16.5" hidden="1">
      <c r="B561" s="37"/>
      <c r="C561" s="37"/>
      <c r="D561" s="38"/>
      <c r="E561" s="38"/>
      <c r="F561" s="39"/>
      <c r="K561" s="5"/>
      <c r="L561" s="5"/>
      <c r="M561" s="5"/>
      <c r="N561" s="5"/>
      <c r="O561" s="5"/>
      <c r="P561" s="5"/>
    </row>
    <row r="562" spans="2:16" s="8" customFormat="1" ht="16.5" hidden="1">
      <c r="B562" s="37"/>
      <c r="C562" s="37"/>
      <c r="D562" s="38"/>
      <c r="E562" s="38"/>
      <c r="F562" s="39"/>
      <c r="K562" s="5"/>
      <c r="L562" s="5"/>
      <c r="M562" s="5"/>
      <c r="N562" s="5"/>
      <c r="O562" s="5"/>
      <c r="P562" s="5"/>
    </row>
    <row r="563" spans="2:16" s="8" customFormat="1" ht="16.5" hidden="1">
      <c r="B563" s="37"/>
      <c r="C563" s="37"/>
      <c r="D563" s="38"/>
      <c r="E563" s="38"/>
      <c r="F563" s="39"/>
      <c r="K563" s="5"/>
      <c r="L563" s="5"/>
      <c r="M563" s="5"/>
      <c r="N563" s="5"/>
      <c r="O563" s="5"/>
      <c r="P563" s="5"/>
    </row>
    <row r="564" spans="2:16" s="8" customFormat="1" ht="16.5" hidden="1">
      <c r="B564" s="37"/>
      <c r="C564" s="37"/>
      <c r="D564" s="38"/>
      <c r="E564" s="38"/>
      <c r="F564" s="39"/>
      <c r="K564" s="5"/>
      <c r="L564" s="5"/>
      <c r="M564" s="5"/>
      <c r="N564" s="5"/>
      <c r="O564" s="5"/>
      <c r="P564" s="5"/>
    </row>
    <row r="565" spans="2:16" s="8" customFormat="1" ht="16.5" hidden="1">
      <c r="B565" s="37"/>
      <c r="C565" s="37"/>
      <c r="D565" s="38"/>
      <c r="E565" s="38"/>
      <c r="F565" s="39"/>
      <c r="K565" s="5"/>
      <c r="L565" s="5"/>
      <c r="M565" s="5"/>
      <c r="N565" s="5"/>
      <c r="O565" s="5"/>
      <c r="P565" s="5"/>
    </row>
    <row r="566" spans="2:16" s="8" customFormat="1" ht="16.5" hidden="1">
      <c r="B566" s="37"/>
      <c r="C566" s="37"/>
      <c r="D566" s="38"/>
      <c r="E566" s="38"/>
      <c r="F566" s="39"/>
      <c r="K566" s="5"/>
      <c r="L566" s="5"/>
      <c r="M566" s="5"/>
      <c r="N566" s="5"/>
      <c r="O566" s="5"/>
      <c r="P566" s="5"/>
    </row>
    <row r="567" spans="2:16" s="8" customFormat="1" ht="16.5" hidden="1">
      <c r="B567" s="37"/>
      <c r="C567" s="37"/>
      <c r="D567" s="38"/>
      <c r="E567" s="38"/>
      <c r="F567" s="39"/>
      <c r="K567" s="5"/>
      <c r="L567" s="5"/>
      <c r="M567" s="5"/>
      <c r="N567" s="5"/>
      <c r="O567" s="5"/>
      <c r="P567" s="5"/>
    </row>
    <row r="568" spans="2:16" s="8" customFormat="1" ht="16.5" hidden="1">
      <c r="B568" s="37"/>
      <c r="C568" s="37"/>
      <c r="D568" s="38"/>
      <c r="E568" s="38"/>
      <c r="F568" s="39"/>
      <c r="K568" s="5"/>
      <c r="L568" s="5"/>
      <c r="M568" s="5"/>
      <c r="N568" s="5"/>
      <c r="O568" s="5"/>
      <c r="P568" s="5"/>
    </row>
    <row r="569" spans="2:16" s="8" customFormat="1" ht="16.5" hidden="1">
      <c r="B569" s="37"/>
      <c r="C569" s="37"/>
      <c r="D569" s="38"/>
      <c r="E569" s="38"/>
      <c r="F569" s="39"/>
      <c r="K569" s="5"/>
      <c r="L569" s="5"/>
      <c r="M569" s="5"/>
      <c r="N569" s="5"/>
      <c r="O569" s="5"/>
      <c r="P569" s="5"/>
    </row>
    <row r="570" spans="2:16" s="8" customFormat="1" ht="16.5" hidden="1">
      <c r="B570" s="37"/>
      <c r="C570" s="37"/>
      <c r="D570" s="38"/>
      <c r="E570" s="38"/>
      <c r="F570" s="39"/>
      <c r="K570" s="5"/>
      <c r="L570" s="5"/>
      <c r="M570" s="5"/>
      <c r="N570" s="5"/>
      <c r="O570" s="5"/>
      <c r="P570" s="5"/>
    </row>
    <row r="571" spans="2:16" s="8" customFormat="1" ht="16.5" hidden="1">
      <c r="B571" s="37"/>
      <c r="C571" s="37"/>
      <c r="D571" s="38"/>
      <c r="E571" s="38"/>
      <c r="F571" s="39"/>
      <c r="K571" s="5"/>
      <c r="L571" s="5"/>
      <c r="M571" s="5"/>
      <c r="N571" s="5"/>
      <c r="O571" s="5"/>
      <c r="P571" s="5"/>
    </row>
    <row r="572" spans="2:16" s="8" customFormat="1" ht="16.5" hidden="1">
      <c r="B572" s="37"/>
      <c r="C572" s="37"/>
      <c r="D572" s="38"/>
      <c r="E572" s="38"/>
      <c r="F572" s="39"/>
      <c r="K572" s="5"/>
      <c r="L572" s="5"/>
      <c r="M572" s="5"/>
      <c r="N572" s="5"/>
      <c r="O572" s="5"/>
      <c r="P572" s="5"/>
    </row>
    <row r="573" spans="2:16" s="8" customFormat="1" ht="16.5" hidden="1">
      <c r="B573" s="37"/>
      <c r="C573" s="37"/>
      <c r="D573" s="38"/>
      <c r="E573" s="38"/>
      <c r="F573" s="39"/>
      <c r="K573" s="5"/>
      <c r="L573" s="5"/>
      <c r="M573" s="5"/>
      <c r="N573" s="5"/>
      <c r="O573" s="5"/>
      <c r="P573" s="5"/>
    </row>
    <row r="574" spans="2:16" s="8" customFormat="1" ht="16.5" hidden="1">
      <c r="B574" s="37"/>
      <c r="C574" s="37"/>
      <c r="D574" s="38"/>
      <c r="E574" s="38"/>
      <c r="F574" s="39"/>
      <c r="K574" s="5"/>
      <c r="L574" s="5"/>
      <c r="M574" s="5"/>
      <c r="N574" s="5"/>
      <c r="O574" s="5"/>
      <c r="P574" s="5"/>
    </row>
    <row r="575" spans="2:16" s="8" customFormat="1" ht="16.5" hidden="1">
      <c r="B575" s="37"/>
      <c r="C575" s="37"/>
      <c r="D575" s="38"/>
      <c r="E575" s="38"/>
      <c r="F575" s="39"/>
      <c r="K575" s="5"/>
      <c r="L575" s="5"/>
      <c r="M575" s="5"/>
      <c r="N575" s="5"/>
      <c r="O575" s="5"/>
      <c r="P575" s="5"/>
    </row>
    <row r="576" spans="2:16" s="8" customFormat="1" ht="16.5" hidden="1">
      <c r="B576" s="37"/>
      <c r="C576" s="37"/>
      <c r="D576" s="38"/>
      <c r="E576" s="38"/>
      <c r="F576" s="39"/>
      <c r="K576" s="5"/>
      <c r="L576" s="5"/>
      <c r="M576" s="5"/>
      <c r="N576" s="5"/>
      <c r="O576" s="5"/>
      <c r="P576" s="5"/>
    </row>
    <row r="577" spans="2:16" s="8" customFormat="1" ht="16.5" hidden="1">
      <c r="B577" s="37"/>
      <c r="C577" s="37"/>
      <c r="D577" s="38"/>
      <c r="E577" s="38"/>
      <c r="F577" s="39"/>
      <c r="K577" s="5"/>
      <c r="L577" s="5"/>
      <c r="M577" s="5"/>
      <c r="N577" s="5"/>
      <c r="O577" s="5"/>
      <c r="P577" s="5"/>
    </row>
    <row r="578" spans="2:16" s="8" customFormat="1" ht="16.5" hidden="1">
      <c r="B578" s="37"/>
      <c r="C578" s="37"/>
      <c r="D578" s="38"/>
      <c r="E578" s="38"/>
      <c r="F578" s="39"/>
      <c r="K578" s="5"/>
      <c r="L578" s="5"/>
      <c r="M578" s="5"/>
      <c r="N578" s="5"/>
      <c r="O578" s="5"/>
      <c r="P578" s="5"/>
    </row>
    <row r="579" spans="2:16" s="8" customFormat="1" ht="16.5" hidden="1">
      <c r="B579" s="37"/>
      <c r="C579" s="37"/>
      <c r="D579" s="38"/>
      <c r="E579" s="38"/>
      <c r="F579" s="39"/>
      <c r="K579" s="5"/>
      <c r="L579" s="5"/>
      <c r="M579" s="5"/>
      <c r="N579" s="5"/>
      <c r="O579" s="5"/>
      <c r="P579" s="5"/>
    </row>
    <row r="580" spans="2:16" s="8" customFormat="1" ht="16.5" hidden="1">
      <c r="B580" s="37"/>
      <c r="C580" s="37"/>
      <c r="D580" s="38"/>
      <c r="E580" s="38"/>
      <c r="F580" s="39"/>
      <c r="K580" s="5"/>
      <c r="L580" s="5"/>
      <c r="M580" s="5"/>
      <c r="N580" s="5"/>
      <c r="O580" s="5"/>
      <c r="P580" s="5"/>
    </row>
    <row r="581" spans="2:16" s="8" customFormat="1" ht="16.5" hidden="1">
      <c r="B581" s="37"/>
      <c r="C581" s="37"/>
      <c r="D581" s="38"/>
      <c r="E581" s="38"/>
      <c r="F581" s="39"/>
      <c r="K581" s="5"/>
      <c r="L581" s="5"/>
      <c r="M581" s="5"/>
      <c r="N581" s="5"/>
      <c r="O581" s="5"/>
      <c r="P581" s="5"/>
    </row>
    <row r="582" spans="2:16" s="8" customFormat="1" ht="16.5" hidden="1">
      <c r="B582" s="37"/>
      <c r="C582" s="37"/>
      <c r="D582" s="38"/>
      <c r="E582" s="38"/>
      <c r="F582" s="39"/>
      <c r="K582" s="5"/>
      <c r="L582" s="5"/>
      <c r="M582" s="5"/>
      <c r="N582" s="5"/>
      <c r="O582" s="5"/>
      <c r="P582" s="5"/>
    </row>
    <row r="583" spans="2:16" s="8" customFormat="1" ht="16.5" hidden="1">
      <c r="B583" s="37"/>
      <c r="C583" s="37"/>
      <c r="D583" s="38"/>
      <c r="E583" s="38"/>
      <c r="F583" s="39"/>
      <c r="K583" s="5"/>
      <c r="L583" s="5"/>
      <c r="M583" s="5"/>
      <c r="N583" s="5"/>
      <c r="O583" s="5"/>
      <c r="P583" s="5"/>
    </row>
    <row r="584" spans="2:16" s="8" customFormat="1" ht="16.5" hidden="1">
      <c r="B584" s="37"/>
      <c r="C584" s="37"/>
      <c r="D584" s="38"/>
      <c r="E584" s="38"/>
      <c r="F584" s="39"/>
      <c r="K584" s="5"/>
      <c r="L584" s="5"/>
      <c r="M584" s="5"/>
      <c r="N584" s="5"/>
      <c r="O584" s="5"/>
      <c r="P584" s="5"/>
    </row>
    <row r="585" spans="2:16" s="8" customFormat="1" ht="16.5" hidden="1">
      <c r="B585" s="37"/>
      <c r="C585" s="37"/>
      <c r="D585" s="38"/>
      <c r="E585" s="38"/>
      <c r="F585" s="39"/>
      <c r="K585" s="5"/>
      <c r="L585" s="5"/>
      <c r="M585" s="5"/>
      <c r="N585" s="5"/>
      <c r="O585" s="5"/>
      <c r="P585" s="5"/>
    </row>
    <row r="586" spans="2:16" s="8" customFormat="1" ht="16.5" hidden="1">
      <c r="B586" s="37"/>
      <c r="C586" s="37"/>
      <c r="D586" s="38"/>
      <c r="E586" s="38"/>
      <c r="F586" s="39"/>
      <c r="K586" s="5"/>
      <c r="L586" s="5"/>
      <c r="M586" s="5"/>
      <c r="N586" s="5"/>
      <c r="O586" s="5"/>
      <c r="P586" s="5"/>
    </row>
    <row r="587" spans="2:16" s="8" customFormat="1" ht="16.5" hidden="1">
      <c r="B587" s="37"/>
      <c r="C587" s="37"/>
      <c r="D587" s="38"/>
      <c r="E587" s="38"/>
      <c r="F587" s="39"/>
      <c r="K587" s="5"/>
      <c r="L587" s="5"/>
      <c r="M587" s="5"/>
      <c r="N587" s="5"/>
      <c r="O587" s="5"/>
      <c r="P587" s="5"/>
    </row>
    <row r="588" spans="2:16" s="8" customFormat="1" ht="16.5" hidden="1">
      <c r="B588" s="37"/>
      <c r="C588" s="37"/>
      <c r="D588" s="38"/>
      <c r="E588" s="38"/>
      <c r="F588" s="39"/>
      <c r="K588" s="5"/>
      <c r="L588" s="5"/>
      <c r="M588" s="5"/>
      <c r="N588" s="5"/>
      <c r="O588" s="5"/>
      <c r="P588" s="5"/>
    </row>
    <row r="589" spans="2:16" s="8" customFormat="1" ht="16.5" hidden="1">
      <c r="B589" s="37"/>
      <c r="C589" s="37"/>
      <c r="D589" s="38"/>
      <c r="E589" s="38"/>
      <c r="F589" s="39"/>
      <c r="K589" s="5"/>
      <c r="L589" s="5"/>
      <c r="M589" s="5"/>
      <c r="N589" s="5"/>
      <c r="O589" s="5"/>
      <c r="P589" s="5"/>
    </row>
    <row r="590" spans="2:16" s="8" customFormat="1" ht="16.5" hidden="1">
      <c r="B590" s="37"/>
      <c r="C590" s="37"/>
      <c r="D590" s="38"/>
      <c r="E590" s="38"/>
      <c r="F590" s="39"/>
      <c r="K590" s="5"/>
      <c r="L590" s="5"/>
      <c r="M590" s="5"/>
      <c r="N590" s="5"/>
      <c r="O590" s="5"/>
      <c r="P590" s="5"/>
    </row>
    <row r="591" spans="2:16" s="8" customFormat="1" ht="16.5" hidden="1">
      <c r="B591" s="37"/>
      <c r="C591" s="37"/>
      <c r="D591" s="38"/>
      <c r="E591" s="38"/>
      <c r="F591" s="39"/>
      <c r="K591" s="5"/>
      <c r="L591" s="5"/>
      <c r="M591" s="5"/>
      <c r="N591" s="5"/>
      <c r="O591" s="5"/>
      <c r="P591" s="5"/>
    </row>
    <row r="592" spans="2:16" s="8" customFormat="1" ht="16.5" hidden="1">
      <c r="B592" s="37"/>
      <c r="C592" s="37"/>
      <c r="D592" s="38"/>
      <c r="E592" s="38"/>
      <c r="F592" s="39"/>
      <c r="K592" s="5"/>
      <c r="L592" s="5"/>
      <c r="M592" s="5"/>
      <c r="N592" s="5"/>
      <c r="O592" s="5"/>
      <c r="P592" s="5"/>
    </row>
    <row r="593" spans="2:16" s="8" customFormat="1" ht="16.5" hidden="1">
      <c r="B593" s="37"/>
      <c r="C593" s="37"/>
      <c r="D593" s="38"/>
      <c r="E593" s="38"/>
      <c r="F593" s="39"/>
      <c r="K593" s="5"/>
      <c r="L593" s="5"/>
      <c r="M593" s="5"/>
      <c r="N593" s="5"/>
      <c r="O593" s="5"/>
      <c r="P593" s="5"/>
    </row>
    <row r="594" spans="2:16" s="8" customFormat="1" ht="16.5" hidden="1">
      <c r="B594" s="37"/>
      <c r="C594" s="37"/>
      <c r="D594" s="38"/>
      <c r="E594" s="38"/>
      <c r="F594" s="39"/>
      <c r="K594" s="5"/>
      <c r="L594" s="5"/>
      <c r="M594" s="5"/>
      <c r="N594" s="5"/>
      <c r="O594" s="5"/>
      <c r="P594" s="5"/>
    </row>
    <row r="595" spans="2:16" s="8" customFormat="1" ht="16.5" hidden="1">
      <c r="B595" s="37"/>
      <c r="C595" s="37"/>
      <c r="D595" s="38"/>
      <c r="E595" s="38"/>
      <c r="F595" s="39"/>
      <c r="K595" s="5"/>
      <c r="L595" s="5"/>
      <c r="M595" s="5"/>
      <c r="N595" s="5"/>
      <c r="O595" s="5"/>
      <c r="P595" s="5"/>
    </row>
    <row r="596" spans="2:16" s="8" customFormat="1" ht="16.5" hidden="1">
      <c r="B596" s="37"/>
      <c r="C596" s="37"/>
      <c r="D596" s="38"/>
      <c r="E596" s="38"/>
      <c r="F596" s="39"/>
      <c r="K596" s="5"/>
      <c r="L596" s="5"/>
      <c r="M596" s="5"/>
      <c r="N596" s="5"/>
      <c r="O596" s="5"/>
      <c r="P596" s="5"/>
    </row>
    <row r="597" spans="2:16" s="8" customFormat="1" ht="16.5" hidden="1">
      <c r="B597" s="37"/>
      <c r="C597" s="37"/>
      <c r="D597" s="38"/>
      <c r="E597" s="38"/>
      <c r="F597" s="39"/>
      <c r="K597" s="5"/>
      <c r="L597" s="5"/>
      <c r="M597" s="5"/>
      <c r="N597" s="5"/>
      <c r="O597" s="5"/>
      <c r="P597" s="5"/>
    </row>
    <row r="598" spans="2:16" s="8" customFormat="1" ht="16.5" hidden="1">
      <c r="B598" s="37"/>
      <c r="C598" s="37"/>
      <c r="D598" s="38"/>
      <c r="E598" s="38"/>
      <c r="F598" s="39"/>
      <c r="K598" s="5"/>
      <c r="L598" s="5"/>
      <c r="M598" s="5"/>
      <c r="N598" s="5"/>
      <c r="O598" s="5"/>
      <c r="P598" s="5"/>
    </row>
    <row r="599" spans="2:16" s="8" customFormat="1" ht="16.5" hidden="1">
      <c r="B599" s="37"/>
      <c r="C599" s="37"/>
      <c r="D599" s="38"/>
      <c r="E599" s="38"/>
      <c r="F599" s="39"/>
      <c r="K599" s="5"/>
      <c r="L599" s="5"/>
      <c r="M599" s="5"/>
      <c r="N599" s="5"/>
      <c r="O599" s="5"/>
      <c r="P599" s="5"/>
    </row>
    <row r="600" spans="2:16" s="8" customFormat="1" ht="16.5" hidden="1">
      <c r="B600" s="37"/>
      <c r="C600" s="37"/>
      <c r="D600" s="38"/>
      <c r="E600" s="38"/>
      <c r="F600" s="39"/>
      <c r="K600" s="5"/>
      <c r="L600" s="5"/>
      <c r="M600" s="5"/>
      <c r="N600" s="5"/>
      <c r="O600" s="5"/>
      <c r="P600" s="5"/>
    </row>
    <row r="601" spans="2:16" s="8" customFormat="1" ht="16.5" hidden="1">
      <c r="B601" s="37"/>
      <c r="C601" s="37"/>
      <c r="D601" s="38"/>
      <c r="E601" s="38"/>
      <c r="F601" s="39"/>
      <c r="K601" s="5"/>
      <c r="L601" s="5"/>
      <c r="M601" s="5"/>
      <c r="N601" s="5"/>
      <c r="O601" s="5"/>
      <c r="P601" s="5"/>
    </row>
    <row r="602" spans="2:16" s="8" customFormat="1" ht="16.5" hidden="1">
      <c r="B602" s="37"/>
      <c r="C602" s="37"/>
      <c r="D602" s="38"/>
      <c r="E602" s="38"/>
      <c r="F602" s="39"/>
      <c r="K602" s="5"/>
      <c r="L602" s="5"/>
      <c r="M602" s="5"/>
      <c r="N602" s="5"/>
      <c r="O602" s="5"/>
      <c r="P602" s="5"/>
    </row>
    <row r="603" spans="2:16" s="8" customFormat="1" ht="16.5" hidden="1">
      <c r="B603" s="37"/>
      <c r="C603" s="37"/>
      <c r="D603" s="38"/>
      <c r="E603" s="38"/>
      <c r="F603" s="39"/>
      <c r="K603" s="5"/>
      <c r="L603" s="5"/>
      <c r="M603" s="5"/>
      <c r="N603" s="5"/>
      <c r="O603" s="5"/>
      <c r="P603" s="5"/>
    </row>
    <row r="604" spans="2:16" s="8" customFormat="1" ht="16.5" hidden="1">
      <c r="B604" s="37"/>
      <c r="C604" s="37"/>
      <c r="D604" s="38"/>
      <c r="E604" s="38"/>
      <c r="F604" s="39"/>
      <c r="K604" s="5"/>
      <c r="L604" s="5"/>
      <c r="M604" s="5"/>
      <c r="N604" s="5"/>
      <c r="O604" s="5"/>
      <c r="P604" s="5"/>
    </row>
    <row r="605" spans="2:16" s="8" customFormat="1" ht="16.5" hidden="1">
      <c r="B605" s="37"/>
      <c r="C605" s="37"/>
      <c r="D605" s="38"/>
      <c r="E605" s="38"/>
      <c r="F605" s="39"/>
      <c r="K605" s="5"/>
      <c r="L605" s="5"/>
      <c r="M605" s="5"/>
      <c r="N605" s="5"/>
      <c r="O605" s="5"/>
      <c r="P605" s="5"/>
    </row>
    <row r="606" spans="2:16" s="8" customFormat="1" ht="16.5" hidden="1">
      <c r="B606" s="37"/>
      <c r="C606" s="37"/>
      <c r="D606" s="38"/>
      <c r="E606" s="38"/>
      <c r="F606" s="39"/>
      <c r="K606" s="5"/>
      <c r="L606" s="5"/>
      <c r="M606" s="5"/>
      <c r="N606" s="5"/>
      <c r="O606" s="5"/>
      <c r="P606" s="5"/>
    </row>
    <row r="607" spans="2:16" s="8" customFormat="1" ht="16.5" hidden="1">
      <c r="B607" s="37"/>
      <c r="C607" s="37"/>
      <c r="D607" s="38"/>
      <c r="E607" s="38"/>
      <c r="F607" s="39"/>
      <c r="K607" s="5"/>
      <c r="L607" s="5"/>
      <c r="M607" s="5"/>
      <c r="N607" s="5"/>
      <c r="O607" s="5"/>
      <c r="P607" s="5"/>
    </row>
    <row r="608" spans="2:16" s="8" customFormat="1" ht="16.5" hidden="1">
      <c r="B608" s="37"/>
      <c r="C608" s="37"/>
      <c r="D608" s="38"/>
      <c r="E608" s="38"/>
      <c r="F608" s="39"/>
      <c r="K608" s="5"/>
      <c r="L608" s="5"/>
      <c r="M608" s="5"/>
      <c r="N608" s="5"/>
      <c r="O608" s="5"/>
      <c r="P608" s="5"/>
    </row>
    <row r="609" spans="2:16" s="8" customFormat="1" ht="16.5" hidden="1">
      <c r="B609" s="37"/>
      <c r="C609" s="37"/>
      <c r="D609" s="38"/>
      <c r="E609" s="38"/>
      <c r="F609" s="39"/>
      <c r="K609" s="5"/>
      <c r="L609" s="5"/>
      <c r="M609" s="5"/>
      <c r="N609" s="5"/>
      <c r="O609" s="5"/>
      <c r="P609" s="5"/>
    </row>
    <row r="610" spans="2:16" s="8" customFormat="1" ht="16.5" hidden="1">
      <c r="B610" s="37"/>
      <c r="C610" s="37"/>
      <c r="D610" s="38"/>
      <c r="E610" s="38"/>
      <c r="F610" s="39"/>
      <c r="K610" s="5"/>
      <c r="L610" s="5"/>
      <c r="M610" s="5"/>
      <c r="N610" s="5"/>
      <c r="O610" s="5"/>
      <c r="P610" s="5"/>
    </row>
    <row r="611" spans="2:16" s="8" customFormat="1" ht="16.5" hidden="1">
      <c r="B611" s="37"/>
      <c r="C611" s="37"/>
      <c r="D611" s="38"/>
      <c r="E611" s="38"/>
      <c r="F611" s="39"/>
      <c r="K611" s="5"/>
      <c r="L611" s="5"/>
      <c r="M611" s="5"/>
      <c r="N611" s="5"/>
      <c r="O611" s="5"/>
      <c r="P611" s="5"/>
    </row>
    <row r="612" spans="2:16" s="8" customFormat="1" ht="16.5" hidden="1">
      <c r="B612" s="37"/>
      <c r="C612" s="37"/>
      <c r="D612" s="38"/>
      <c r="E612" s="38"/>
      <c r="F612" s="39"/>
      <c r="K612" s="5"/>
      <c r="L612" s="5"/>
      <c r="M612" s="5"/>
      <c r="N612" s="5"/>
      <c r="O612" s="5"/>
      <c r="P612" s="5"/>
    </row>
    <row r="613" spans="2:16" s="8" customFormat="1" ht="16.5" hidden="1">
      <c r="B613" s="37"/>
      <c r="C613" s="37"/>
      <c r="D613" s="38"/>
      <c r="E613" s="38"/>
      <c r="F613" s="39"/>
      <c r="K613" s="5"/>
      <c r="L613" s="5"/>
      <c r="M613" s="5"/>
      <c r="N613" s="5"/>
      <c r="O613" s="5"/>
      <c r="P613" s="5"/>
    </row>
    <row r="614" spans="2:16" s="8" customFormat="1" ht="16.5" hidden="1">
      <c r="B614" s="37"/>
      <c r="C614" s="37"/>
      <c r="D614" s="38"/>
      <c r="E614" s="38"/>
      <c r="F614" s="39"/>
      <c r="K614" s="5"/>
      <c r="L614" s="5"/>
      <c r="M614" s="5"/>
      <c r="N614" s="5"/>
      <c r="O614" s="5"/>
      <c r="P614" s="5"/>
    </row>
    <row r="615" spans="2:16" s="8" customFormat="1" ht="16.5" hidden="1">
      <c r="B615" s="37"/>
      <c r="C615" s="37"/>
      <c r="D615" s="38"/>
      <c r="E615" s="38"/>
      <c r="F615" s="39"/>
      <c r="K615" s="5"/>
      <c r="L615" s="5"/>
      <c r="M615" s="5"/>
      <c r="N615" s="5"/>
      <c r="O615" s="5"/>
      <c r="P615" s="5"/>
    </row>
    <row r="616" spans="2:16" s="8" customFormat="1" ht="16.5" hidden="1">
      <c r="B616" s="37"/>
      <c r="C616" s="37"/>
      <c r="D616" s="38"/>
      <c r="E616" s="38"/>
      <c r="F616" s="39"/>
      <c r="K616" s="5"/>
      <c r="L616" s="5"/>
      <c r="M616" s="5"/>
      <c r="N616" s="5"/>
      <c r="O616" s="5"/>
      <c r="P616" s="5"/>
    </row>
    <row r="617" spans="2:16" s="8" customFormat="1" ht="16.5" hidden="1">
      <c r="B617" s="37"/>
      <c r="C617" s="37"/>
      <c r="D617" s="38"/>
      <c r="E617" s="38"/>
      <c r="F617" s="39"/>
      <c r="K617" s="5"/>
      <c r="L617" s="5"/>
      <c r="M617" s="5"/>
      <c r="N617" s="5"/>
      <c r="O617" s="5"/>
      <c r="P617" s="5"/>
    </row>
    <row r="618" spans="2:16" s="8" customFormat="1" ht="16.5" hidden="1">
      <c r="B618" s="37"/>
      <c r="C618" s="37"/>
      <c r="D618" s="38"/>
      <c r="E618" s="38"/>
      <c r="F618" s="39"/>
      <c r="K618" s="5"/>
      <c r="L618" s="5"/>
      <c r="M618" s="5"/>
      <c r="N618" s="5"/>
      <c r="O618" s="5"/>
      <c r="P618" s="5"/>
    </row>
    <row r="619" spans="2:16" s="8" customFormat="1" ht="16.5" hidden="1">
      <c r="B619" s="37"/>
      <c r="C619" s="37"/>
      <c r="D619" s="38"/>
      <c r="E619" s="38"/>
      <c r="F619" s="39"/>
      <c r="K619" s="5"/>
      <c r="L619" s="5"/>
      <c r="M619" s="5"/>
      <c r="N619" s="5"/>
      <c r="O619" s="5"/>
      <c r="P619" s="5"/>
    </row>
    <row r="620" spans="2:16" s="8" customFormat="1" ht="16.5" hidden="1">
      <c r="B620" s="37"/>
      <c r="C620" s="37"/>
      <c r="D620" s="38"/>
      <c r="E620" s="38"/>
      <c r="F620" s="39"/>
      <c r="K620" s="5"/>
      <c r="L620" s="5"/>
      <c r="M620" s="5"/>
      <c r="N620" s="5"/>
      <c r="O620" s="5"/>
      <c r="P620" s="5"/>
    </row>
    <row r="621" spans="2:16" s="8" customFormat="1" ht="16.5" hidden="1">
      <c r="B621" s="37"/>
      <c r="C621" s="37"/>
      <c r="D621" s="38"/>
      <c r="E621" s="38"/>
      <c r="F621" s="39"/>
      <c r="K621" s="5"/>
      <c r="L621" s="5"/>
      <c r="M621" s="5"/>
      <c r="N621" s="5"/>
      <c r="O621" s="5"/>
      <c r="P621" s="5"/>
    </row>
    <row r="622" spans="2:16" s="8" customFormat="1" ht="16.5" hidden="1">
      <c r="B622" s="37"/>
      <c r="C622" s="37"/>
      <c r="D622" s="38"/>
      <c r="E622" s="38"/>
      <c r="F622" s="39"/>
      <c r="K622" s="5"/>
      <c r="L622" s="5"/>
      <c r="M622" s="5"/>
      <c r="N622" s="5"/>
      <c r="O622" s="5"/>
      <c r="P622" s="5"/>
    </row>
    <row r="623" spans="2:16" s="8" customFormat="1" ht="16.5" hidden="1">
      <c r="B623" s="37"/>
      <c r="C623" s="37"/>
      <c r="D623" s="38"/>
      <c r="E623" s="38"/>
      <c r="F623" s="39"/>
      <c r="K623" s="5"/>
      <c r="L623" s="5"/>
      <c r="M623" s="5"/>
      <c r="N623" s="5"/>
      <c r="O623" s="5"/>
      <c r="P623" s="5"/>
    </row>
    <row r="624" spans="2:16" s="8" customFormat="1" ht="16.5" hidden="1">
      <c r="B624" s="37"/>
      <c r="C624" s="37"/>
      <c r="D624" s="38"/>
      <c r="E624" s="38"/>
      <c r="F624" s="39"/>
      <c r="K624" s="5"/>
      <c r="L624" s="5"/>
      <c r="M624" s="5"/>
      <c r="N624" s="5"/>
      <c r="O624" s="5"/>
      <c r="P624" s="5"/>
    </row>
    <row r="625" spans="2:16" s="8" customFormat="1" ht="16.5" hidden="1">
      <c r="B625" s="37"/>
      <c r="C625" s="37"/>
      <c r="D625" s="38"/>
      <c r="E625" s="38"/>
      <c r="F625" s="39"/>
      <c r="K625" s="5"/>
      <c r="L625" s="5"/>
      <c r="M625" s="5"/>
      <c r="N625" s="5"/>
      <c r="O625" s="5"/>
      <c r="P625" s="5"/>
    </row>
    <row r="626" spans="2:16" s="8" customFormat="1" ht="16.5" hidden="1">
      <c r="B626" s="37"/>
      <c r="C626" s="37"/>
      <c r="D626" s="38"/>
      <c r="E626" s="38"/>
      <c r="F626" s="39"/>
      <c r="K626" s="5"/>
      <c r="L626" s="5"/>
      <c r="M626" s="5"/>
      <c r="N626" s="5"/>
      <c r="O626" s="5"/>
      <c r="P626" s="5"/>
    </row>
    <row r="627" spans="2:16" s="8" customFormat="1" ht="16.5" hidden="1">
      <c r="B627" s="37"/>
      <c r="C627" s="37"/>
      <c r="D627" s="38"/>
      <c r="E627" s="38"/>
      <c r="F627" s="39"/>
      <c r="K627" s="5"/>
      <c r="L627" s="5"/>
      <c r="M627" s="5"/>
      <c r="N627" s="5"/>
      <c r="O627" s="5"/>
      <c r="P627" s="5"/>
    </row>
    <row r="628" spans="2:16" s="8" customFormat="1" ht="16.5" hidden="1">
      <c r="B628" s="37"/>
      <c r="C628" s="37"/>
      <c r="D628" s="38"/>
      <c r="E628" s="38"/>
      <c r="F628" s="39"/>
      <c r="K628" s="5"/>
      <c r="L628" s="5"/>
      <c r="M628" s="5"/>
      <c r="N628" s="5"/>
      <c r="O628" s="5"/>
      <c r="P628" s="5"/>
    </row>
    <row r="629" spans="2:16" s="8" customFormat="1" ht="16.5" hidden="1">
      <c r="B629" s="37"/>
      <c r="C629" s="37"/>
      <c r="D629" s="38"/>
      <c r="E629" s="38"/>
      <c r="F629" s="39"/>
      <c r="K629" s="5"/>
      <c r="L629" s="5"/>
      <c r="M629" s="5"/>
      <c r="N629" s="5"/>
      <c r="O629" s="5"/>
      <c r="P629" s="5"/>
    </row>
    <row r="630" spans="2:16" s="8" customFormat="1" ht="16.5" hidden="1">
      <c r="B630" s="37"/>
      <c r="C630" s="37"/>
      <c r="D630" s="38"/>
      <c r="E630" s="38"/>
      <c r="F630" s="39"/>
      <c r="K630" s="5"/>
      <c r="L630" s="5"/>
      <c r="M630" s="5"/>
      <c r="N630" s="5"/>
      <c r="O630" s="5"/>
      <c r="P630" s="5"/>
    </row>
    <row r="631" spans="2:16" s="8" customFormat="1" ht="16.5" hidden="1">
      <c r="B631" s="37"/>
      <c r="C631" s="37"/>
      <c r="D631" s="38"/>
      <c r="E631" s="38"/>
      <c r="F631" s="39"/>
      <c r="K631" s="5"/>
      <c r="L631" s="5"/>
      <c r="M631" s="5"/>
      <c r="N631" s="5"/>
      <c r="O631" s="5"/>
      <c r="P631" s="5"/>
    </row>
    <row r="632" spans="2:16" s="8" customFormat="1" ht="16.5" hidden="1">
      <c r="B632" s="37"/>
      <c r="C632" s="37"/>
      <c r="D632" s="38"/>
      <c r="E632" s="38"/>
      <c r="F632" s="39"/>
      <c r="K632" s="5"/>
      <c r="L632" s="5"/>
      <c r="M632" s="5"/>
      <c r="N632" s="5"/>
      <c r="O632" s="5"/>
      <c r="P632" s="5"/>
    </row>
    <row r="633" spans="2:16" s="8" customFormat="1" ht="16.5" hidden="1">
      <c r="B633" s="37"/>
      <c r="C633" s="37"/>
      <c r="D633" s="38"/>
      <c r="E633" s="38"/>
      <c r="F633" s="39"/>
      <c r="K633" s="5"/>
      <c r="L633" s="5"/>
      <c r="M633" s="5"/>
      <c r="N633" s="5"/>
      <c r="O633" s="5"/>
      <c r="P633" s="5"/>
    </row>
    <row r="634" spans="2:16" s="8" customFormat="1" ht="16.5" hidden="1">
      <c r="B634" s="37"/>
      <c r="C634" s="37"/>
      <c r="D634" s="38"/>
      <c r="E634" s="38"/>
      <c r="F634" s="39"/>
      <c r="K634" s="5"/>
      <c r="L634" s="5"/>
      <c r="M634" s="5"/>
      <c r="N634" s="5"/>
      <c r="O634" s="5"/>
      <c r="P634" s="5"/>
    </row>
    <row r="635" spans="2:16" s="8" customFormat="1" ht="16.5" hidden="1">
      <c r="B635" s="37"/>
      <c r="C635" s="37"/>
      <c r="D635" s="38"/>
      <c r="E635" s="38"/>
      <c r="F635" s="39"/>
      <c r="K635" s="5"/>
      <c r="L635" s="5"/>
      <c r="M635" s="5"/>
      <c r="N635" s="5"/>
      <c r="O635" s="5"/>
      <c r="P635" s="5"/>
    </row>
    <row r="636" spans="2:16" s="8" customFormat="1" ht="16.5" hidden="1">
      <c r="B636" s="37"/>
      <c r="C636" s="37"/>
      <c r="D636" s="38"/>
      <c r="E636" s="38"/>
      <c r="F636" s="39"/>
      <c r="K636" s="5"/>
      <c r="L636" s="5"/>
      <c r="M636" s="5"/>
      <c r="N636" s="5"/>
      <c r="O636" s="5"/>
      <c r="P636" s="5"/>
    </row>
    <row r="637" spans="2:16" s="8" customFormat="1" ht="16.5" hidden="1">
      <c r="B637" s="37"/>
      <c r="C637" s="37"/>
      <c r="D637" s="38"/>
      <c r="E637" s="38"/>
      <c r="F637" s="39"/>
      <c r="K637" s="5"/>
      <c r="L637" s="5"/>
      <c r="M637" s="5"/>
      <c r="N637" s="5"/>
      <c r="O637" s="5"/>
      <c r="P637" s="5"/>
    </row>
    <row r="638" spans="2:16" s="8" customFormat="1" ht="16.5" hidden="1">
      <c r="B638" s="37"/>
      <c r="C638" s="37"/>
      <c r="D638" s="38"/>
      <c r="E638" s="38"/>
      <c r="F638" s="39"/>
      <c r="K638" s="5"/>
      <c r="L638" s="5"/>
      <c r="M638" s="5"/>
      <c r="N638" s="5"/>
      <c r="O638" s="5"/>
      <c r="P638" s="5"/>
    </row>
    <row r="639" spans="2:16" s="8" customFormat="1" ht="16.5" hidden="1">
      <c r="B639" s="37"/>
      <c r="C639" s="37"/>
      <c r="D639" s="38"/>
      <c r="E639" s="38"/>
      <c r="F639" s="39"/>
      <c r="K639" s="5"/>
      <c r="L639" s="5"/>
      <c r="M639" s="5"/>
      <c r="N639" s="5"/>
      <c r="O639" s="5"/>
      <c r="P639" s="5"/>
    </row>
    <row r="640" spans="2:16" s="8" customFormat="1" ht="16.5" hidden="1">
      <c r="B640" s="37"/>
      <c r="C640" s="37"/>
      <c r="D640" s="38"/>
      <c r="E640" s="38"/>
      <c r="F640" s="39"/>
      <c r="K640" s="5"/>
      <c r="L640" s="5"/>
      <c r="M640" s="5"/>
      <c r="N640" s="5"/>
      <c r="O640" s="5"/>
      <c r="P640" s="5"/>
    </row>
    <row r="641" spans="2:16" s="8" customFormat="1" ht="16.5" hidden="1">
      <c r="B641" s="37"/>
      <c r="C641" s="37"/>
      <c r="D641" s="38"/>
      <c r="E641" s="38"/>
      <c r="F641" s="39"/>
      <c r="K641" s="5"/>
      <c r="L641" s="5"/>
      <c r="M641" s="5"/>
      <c r="N641" s="5"/>
      <c r="O641" s="5"/>
      <c r="P641" s="5"/>
    </row>
    <row r="642" spans="2:16" s="8" customFormat="1" ht="16.5" hidden="1">
      <c r="B642" s="37"/>
      <c r="C642" s="37"/>
      <c r="D642" s="38"/>
      <c r="E642" s="38"/>
      <c r="F642" s="39"/>
      <c r="K642" s="5"/>
      <c r="L642" s="5"/>
      <c r="M642" s="5"/>
      <c r="N642" s="5"/>
      <c r="O642" s="5"/>
      <c r="P642" s="5"/>
    </row>
    <row r="643" spans="2:16" s="8" customFormat="1" ht="16.5" hidden="1">
      <c r="B643" s="37"/>
      <c r="C643" s="37"/>
      <c r="D643" s="38"/>
      <c r="E643" s="38"/>
      <c r="F643" s="39"/>
      <c r="K643" s="5"/>
      <c r="L643" s="5"/>
      <c r="M643" s="5"/>
      <c r="N643" s="5"/>
      <c r="O643" s="5"/>
      <c r="P643" s="5"/>
    </row>
    <row r="644" spans="2:16" s="8" customFormat="1" ht="16.5" hidden="1">
      <c r="B644" s="37"/>
      <c r="C644" s="37"/>
      <c r="D644" s="38"/>
      <c r="E644" s="38"/>
      <c r="F644" s="39"/>
      <c r="K644" s="5"/>
      <c r="L644" s="5"/>
      <c r="M644" s="5"/>
      <c r="N644" s="5"/>
      <c r="O644" s="5"/>
      <c r="P644" s="5"/>
    </row>
    <row r="645" spans="2:16" s="8" customFormat="1" ht="16.5" hidden="1">
      <c r="B645" s="37"/>
      <c r="C645" s="37"/>
      <c r="D645" s="38"/>
      <c r="E645" s="38"/>
      <c r="F645" s="39"/>
      <c r="K645" s="5"/>
      <c r="L645" s="5"/>
      <c r="M645" s="5"/>
      <c r="N645" s="5"/>
      <c r="O645" s="5"/>
      <c r="P645" s="5"/>
    </row>
    <row r="646" spans="2:16" s="8" customFormat="1" ht="16.5" hidden="1">
      <c r="B646" s="37"/>
      <c r="C646" s="37"/>
      <c r="D646" s="38"/>
      <c r="E646" s="38"/>
      <c r="F646" s="39"/>
      <c r="K646" s="5"/>
      <c r="L646" s="5"/>
      <c r="M646" s="5"/>
      <c r="N646" s="5"/>
      <c r="O646" s="5"/>
      <c r="P646" s="5"/>
    </row>
    <row r="647" spans="2:16" s="8" customFormat="1" ht="16.5" hidden="1">
      <c r="B647" s="37"/>
      <c r="C647" s="37"/>
      <c r="D647" s="38"/>
      <c r="E647" s="38"/>
      <c r="F647" s="39"/>
      <c r="K647" s="5"/>
      <c r="L647" s="5"/>
      <c r="M647" s="5"/>
      <c r="N647" s="5"/>
      <c r="O647" s="5"/>
      <c r="P647" s="5"/>
    </row>
    <row r="648" spans="2:16" s="8" customFormat="1" ht="16.5" hidden="1">
      <c r="B648" s="37"/>
      <c r="C648" s="37"/>
      <c r="D648" s="38"/>
      <c r="E648" s="38"/>
      <c r="F648" s="39"/>
      <c r="K648" s="5"/>
      <c r="L648" s="5"/>
      <c r="M648" s="5"/>
      <c r="N648" s="5"/>
      <c r="O648" s="5"/>
      <c r="P648" s="5"/>
    </row>
    <row r="649" spans="2:16" s="8" customFormat="1" ht="16.5" hidden="1">
      <c r="B649" s="37"/>
      <c r="C649" s="37"/>
      <c r="D649" s="38"/>
      <c r="E649" s="38"/>
      <c r="F649" s="39"/>
      <c r="K649" s="5"/>
      <c r="L649" s="5"/>
      <c r="M649" s="5"/>
      <c r="N649" s="5"/>
      <c r="O649" s="5"/>
      <c r="P649" s="5"/>
    </row>
    <row r="650" spans="2:16" s="8" customFormat="1" ht="16.5" hidden="1">
      <c r="B650" s="37"/>
      <c r="C650" s="37"/>
      <c r="D650" s="38"/>
      <c r="E650" s="38"/>
      <c r="F650" s="39"/>
      <c r="K650" s="5"/>
      <c r="L650" s="5"/>
      <c r="M650" s="5"/>
      <c r="N650" s="5"/>
      <c r="O650" s="5"/>
      <c r="P650" s="5"/>
    </row>
    <row r="651" spans="2:16" s="8" customFormat="1" ht="16.5" hidden="1">
      <c r="B651" s="37"/>
      <c r="C651" s="37"/>
      <c r="D651" s="38"/>
      <c r="E651" s="38"/>
      <c r="F651" s="39"/>
      <c r="K651" s="5"/>
      <c r="L651" s="5"/>
      <c r="M651" s="5"/>
      <c r="N651" s="5"/>
      <c r="O651" s="5"/>
      <c r="P651" s="5"/>
    </row>
    <row r="652" spans="2:16" s="8" customFormat="1" ht="16.5" hidden="1">
      <c r="B652" s="37"/>
      <c r="C652" s="37"/>
      <c r="D652" s="38"/>
      <c r="E652" s="38"/>
      <c r="F652" s="39"/>
      <c r="K652" s="5"/>
      <c r="L652" s="5"/>
      <c r="M652" s="5"/>
      <c r="N652" s="5"/>
      <c r="O652" s="5"/>
      <c r="P652" s="5"/>
    </row>
    <row r="653" spans="2:16" s="8" customFormat="1" ht="16.5" hidden="1">
      <c r="B653" s="37"/>
      <c r="C653" s="37"/>
      <c r="D653" s="38"/>
      <c r="E653" s="38"/>
      <c r="F653" s="39"/>
      <c r="K653" s="5"/>
      <c r="L653" s="5"/>
      <c r="M653" s="5"/>
      <c r="N653" s="5"/>
      <c r="O653" s="5"/>
      <c r="P653" s="5"/>
    </row>
    <row r="654" spans="2:16" s="8" customFormat="1" ht="16.5" hidden="1">
      <c r="B654" s="37"/>
      <c r="C654" s="37"/>
      <c r="D654" s="38"/>
      <c r="E654" s="38"/>
      <c r="F654" s="39"/>
      <c r="K654" s="5"/>
      <c r="L654" s="5"/>
      <c r="M654" s="5"/>
      <c r="N654" s="5"/>
      <c r="O654" s="5"/>
      <c r="P654" s="5"/>
    </row>
    <row r="655" spans="2:16" s="8" customFormat="1" ht="16.5" hidden="1">
      <c r="B655" s="37"/>
      <c r="C655" s="37"/>
      <c r="D655" s="38"/>
      <c r="E655" s="38"/>
      <c r="F655" s="39"/>
      <c r="K655" s="5"/>
      <c r="L655" s="5"/>
      <c r="M655" s="5"/>
      <c r="N655" s="5"/>
      <c r="O655" s="5"/>
      <c r="P655" s="5"/>
    </row>
    <row r="656" spans="2:16" s="8" customFormat="1" ht="16.5" hidden="1">
      <c r="B656" s="37"/>
      <c r="C656" s="37"/>
      <c r="D656" s="38"/>
      <c r="E656" s="38"/>
      <c r="F656" s="39"/>
      <c r="K656" s="5"/>
      <c r="L656" s="5"/>
      <c r="M656" s="5"/>
      <c r="N656" s="5"/>
      <c r="O656" s="5"/>
      <c r="P656" s="5"/>
    </row>
    <row r="657" spans="2:16" s="8" customFormat="1" ht="16.5" hidden="1">
      <c r="B657" s="37"/>
      <c r="C657" s="37"/>
      <c r="D657" s="38"/>
      <c r="E657" s="38"/>
      <c r="F657" s="39"/>
      <c r="K657" s="5"/>
      <c r="L657" s="5"/>
      <c r="M657" s="5"/>
      <c r="N657" s="5"/>
      <c r="O657" s="5"/>
      <c r="P657" s="5"/>
    </row>
    <row r="658" spans="2:16" s="8" customFormat="1" ht="16.5" hidden="1">
      <c r="B658" s="37"/>
      <c r="C658" s="37"/>
      <c r="D658" s="38"/>
      <c r="E658" s="38"/>
      <c r="F658" s="39"/>
      <c r="K658" s="5"/>
      <c r="L658" s="5"/>
      <c r="M658" s="5"/>
      <c r="N658" s="5"/>
      <c r="O658" s="5"/>
      <c r="P658" s="5"/>
    </row>
    <row r="659" spans="2:16" s="8" customFormat="1" ht="16.5" hidden="1">
      <c r="B659" s="37"/>
      <c r="C659" s="37"/>
      <c r="D659" s="38"/>
      <c r="E659" s="38"/>
      <c r="F659" s="39"/>
      <c r="K659" s="5"/>
      <c r="L659" s="5"/>
      <c r="M659" s="5"/>
      <c r="N659" s="5"/>
      <c r="O659" s="5"/>
      <c r="P659" s="5"/>
    </row>
    <row r="660" spans="2:16" s="8" customFormat="1" ht="16.5" hidden="1">
      <c r="B660" s="37"/>
      <c r="C660" s="37"/>
      <c r="D660" s="38"/>
      <c r="E660" s="38"/>
      <c r="F660" s="39"/>
      <c r="K660" s="5"/>
      <c r="L660" s="5"/>
      <c r="M660" s="5"/>
      <c r="N660" s="5"/>
      <c r="O660" s="5"/>
      <c r="P660" s="5"/>
    </row>
    <row r="661" spans="2:16" s="8" customFormat="1" ht="16.5" hidden="1">
      <c r="B661" s="37"/>
      <c r="C661" s="37"/>
      <c r="D661" s="38"/>
      <c r="E661" s="38"/>
      <c r="F661" s="39"/>
      <c r="K661" s="5"/>
      <c r="L661" s="5"/>
      <c r="M661" s="5"/>
      <c r="N661" s="5"/>
      <c r="O661" s="5"/>
      <c r="P661" s="5"/>
    </row>
    <row r="662" spans="2:16" s="8" customFormat="1" ht="16.5" hidden="1">
      <c r="B662" s="37"/>
      <c r="C662" s="37"/>
      <c r="D662" s="38"/>
      <c r="E662" s="38"/>
      <c r="F662" s="39"/>
      <c r="K662" s="5"/>
      <c r="L662" s="5"/>
      <c r="M662" s="5"/>
      <c r="N662" s="5"/>
      <c r="O662" s="5"/>
      <c r="P662" s="5"/>
    </row>
    <row r="663" spans="2:16" s="8" customFormat="1" ht="16.5" hidden="1">
      <c r="B663" s="37"/>
      <c r="C663" s="37"/>
      <c r="D663" s="38"/>
      <c r="E663" s="38"/>
      <c r="F663" s="39"/>
      <c r="K663" s="5"/>
      <c r="L663" s="5"/>
      <c r="M663" s="5"/>
      <c r="N663" s="5"/>
      <c r="O663" s="5"/>
      <c r="P663" s="5"/>
    </row>
    <row r="664" spans="2:16" s="8" customFormat="1" ht="16.5" hidden="1">
      <c r="B664" s="37"/>
      <c r="C664" s="37"/>
      <c r="D664" s="38"/>
      <c r="E664" s="38"/>
      <c r="F664" s="39"/>
      <c r="K664" s="5"/>
      <c r="L664" s="5"/>
      <c r="M664" s="5"/>
      <c r="N664" s="5"/>
      <c r="O664" s="5"/>
      <c r="P664" s="5"/>
    </row>
    <row r="665" spans="2:16" s="8" customFormat="1" ht="16.5" hidden="1">
      <c r="B665" s="37"/>
      <c r="C665" s="37"/>
      <c r="D665" s="38"/>
      <c r="E665" s="38"/>
      <c r="F665" s="39"/>
      <c r="K665" s="5"/>
      <c r="L665" s="5"/>
      <c r="M665" s="5"/>
      <c r="N665" s="5"/>
      <c r="O665" s="5"/>
      <c r="P665" s="5"/>
    </row>
    <row r="666" spans="2:16" s="8" customFormat="1" ht="16.5" hidden="1">
      <c r="B666" s="37"/>
      <c r="C666" s="37"/>
      <c r="D666" s="38"/>
      <c r="E666" s="38"/>
      <c r="F666" s="39"/>
      <c r="K666" s="5"/>
      <c r="L666" s="5"/>
      <c r="M666" s="5"/>
      <c r="N666" s="5"/>
      <c r="O666" s="5"/>
      <c r="P666" s="5"/>
    </row>
    <row r="667" spans="2:16" s="8" customFormat="1" ht="16.5" hidden="1">
      <c r="B667" s="37"/>
      <c r="C667" s="37"/>
      <c r="D667" s="38"/>
      <c r="E667" s="38"/>
      <c r="F667" s="39"/>
      <c r="K667" s="5"/>
      <c r="L667" s="5"/>
      <c r="M667" s="5"/>
      <c r="N667" s="5"/>
      <c r="O667" s="5"/>
      <c r="P667" s="5"/>
    </row>
    <row r="668" spans="2:16" s="8" customFormat="1" ht="16.5" hidden="1">
      <c r="B668" s="37"/>
      <c r="C668" s="37"/>
      <c r="D668" s="38"/>
      <c r="E668" s="38"/>
      <c r="F668" s="39"/>
      <c r="K668" s="5"/>
      <c r="L668" s="5"/>
      <c r="M668" s="5"/>
      <c r="N668" s="5"/>
      <c r="O668" s="5"/>
      <c r="P668" s="5"/>
    </row>
    <row r="669" spans="2:16" s="8" customFormat="1" ht="16.5" hidden="1">
      <c r="B669" s="37"/>
      <c r="C669" s="37"/>
      <c r="D669" s="38"/>
      <c r="E669" s="38"/>
      <c r="F669" s="39"/>
      <c r="K669" s="5"/>
      <c r="L669" s="5"/>
      <c r="M669" s="5"/>
      <c r="N669" s="5"/>
      <c r="O669" s="5"/>
      <c r="P669" s="5"/>
    </row>
    <row r="670" spans="2:16" s="8" customFormat="1" ht="16.5" hidden="1">
      <c r="B670" s="37"/>
      <c r="C670" s="37"/>
      <c r="D670" s="38"/>
      <c r="E670" s="38"/>
      <c r="F670" s="39"/>
      <c r="K670" s="5"/>
      <c r="L670" s="5"/>
      <c r="M670" s="5"/>
      <c r="N670" s="5"/>
      <c r="O670" s="5"/>
      <c r="P670" s="5"/>
    </row>
    <row r="671" spans="2:16" s="8" customFormat="1" ht="16.5" hidden="1">
      <c r="B671" s="37"/>
      <c r="C671" s="37"/>
      <c r="D671" s="38"/>
      <c r="E671" s="38"/>
      <c r="F671" s="39"/>
      <c r="K671" s="5"/>
      <c r="L671" s="5"/>
      <c r="M671" s="5"/>
      <c r="N671" s="5"/>
      <c r="O671" s="5"/>
      <c r="P671" s="5"/>
    </row>
    <row r="672" spans="2:16" s="8" customFormat="1" ht="16.5" hidden="1">
      <c r="B672" s="37"/>
      <c r="C672" s="37"/>
      <c r="D672" s="38"/>
      <c r="E672" s="38"/>
      <c r="F672" s="39"/>
      <c r="K672" s="5"/>
      <c r="L672" s="5"/>
      <c r="M672" s="5"/>
      <c r="N672" s="5"/>
      <c r="O672" s="5"/>
      <c r="P672" s="5"/>
    </row>
    <row r="673" spans="2:16" s="8" customFormat="1" ht="16.5" hidden="1">
      <c r="B673" s="37"/>
      <c r="C673" s="37"/>
      <c r="D673" s="38"/>
      <c r="E673" s="38"/>
      <c r="F673" s="39"/>
      <c r="K673" s="5"/>
      <c r="L673" s="5"/>
      <c r="M673" s="5"/>
      <c r="N673" s="5"/>
      <c r="O673" s="5"/>
      <c r="P673" s="5"/>
    </row>
    <row r="674" spans="2:16" s="8" customFormat="1" ht="16.5" hidden="1">
      <c r="B674" s="37"/>
      <c r="C674" s="37"/>
      <c r="D674" s="38"/>
      <c r="E674" s="38"/>
      <c r="F674" s="39"/>
      <c r="K674" s="5"/>
      <c r="L674" s="5"/>
      <c r="M674" s="5"/>
      <c r="N674" s="5"/>
      <c r="O674" s="5"/>
      <c r="P674" s="5"/>
    </row>
    <row r="675" spans="2:16" s="8" customFormat="1" ht="16.5" hidden="1">
      <c r="B675" s="37"/>
      <c r="C675" s="37"/>
      <c r="D675" s="38"/>
      <c r="E675" s="38"/>
      <c r="F675" s="39"/>
      <c r="K675" s="5"/>
      <c r="L675" s="5"/>
      <c r="M675" s="5"/>
      <c r="N675" s="5"/>
      <c r="O675" s="5"/>
      <c r="P675" s="5"/>
    </row>
    <row r="676" spans="2:16" s="8" customFormat="1" ht="16.5" hidden="1">
      <c r="B676" s="37"/>
      <c r="C676" s="37"/>
      <c r="D676" s="38"/>
      <c r="E676" s="38"/>
      <c r="F676" s="39"/>
      <c r="K676" s="5"/>
      <c r="L676" s="5"/>
      <c r="M676" s="5"/>
      <c r="N676" s="5"/>
      <c r="O676" s="5"/>
      <c r="P676" s="5"/>
    </row>
    <row r="677" spans="2:16" s="8" customFormat="1" ht="16.5" hidden="1">
      <c r="B677" s="37"/>
      <c r="C677" s="37"/>
      <c r="D677" s="38"/>
      <c r="E677" s="38"/>
      <c r="F677" s="39"/>
      <c r="K677" s="5"/>
      <c r="L677" s="5"/>
      <c r="M677" s="5"/>
      <c r="N677" s="5"/>
      <c r="O677" s="5"/>
      <c r="P677" s="5"/>
    </row>
    <row r="678" spans="2:16" s="8" customFormat="1" ht="16.5" hidden="1">
      <c r="B678" s="37"/>
      <c r="C678" s="37"/>
      <c r="D678" s="38"/>
      <c r="E678" s="38"/>
      <c r="F678" s="39"/>
      <c r="K678" s="5"/>
      <c r="L678" s="5"/>
      <c r="M678" s="5"/>
      <c r="N678" s="5"/>
      <c r="O678" s="5"/>
      <c r="P678" s="5"/>
    </row>
    <row r="679" spans="2:16" s="8" customFormat="1" ht="16.5" hidden="1">
      <c r="B679" s="37"/>
      <c r="C679" s="37"/>
      <c r="D679" s="38"/>
      <c r="E679" s="38"/>
      <c r="F679" s="39"/>
      <c r="K679" s="5"/>
      <c r="L679" s="5"/>
      <c r="M679" s="5"/>
      <c r="N679" s="5"/>
      <c r="O679" s="5"/>
      <c r="P679" s="5"/>
    </row>
    <row r="680" spans="2:16" s="8" customFormat="1" ht="16.5" hidden="1">
      <c r="B680" s="37"/>
      <c r="C680" s="37"/>
      <c r="D680" s="38"/>
      <c r="E680" s="38"/>
      <c r="F680" s="39"/>
      <c r="K680" s="5"/>
      <c r="L680" s="5"/>
      <c r="M680" s="5"/>
      <c r="N680" s="5"/>
      <c r="O680" s="5"/>
      <c r="P680" s="5"/>
    </row>
    <row r="681" spans="2:16" s="8" customFormat="1" ht="16.5" hidden="1">
      <c r="B681" s="37"/>
      <c r="C681" s="37"/>
      <c r="D681" s="38"/>
      <c r="E681" s="38"/>
      <c r="F681" s="39"/>
      <c r="K681" s="5"/>
      <c r="L681" s="5"/>
      <c r="M681" s="5"/>
      <c r="N681" s="5"/>
      <c r="O681" s="5"/>
      <c r="P681" s="5"/>
    </row>
    <row r="682" spans="2:16" s="8" customFormat="1" ht="16.5" hidden="1">
      <c r="B682" s="37"/>
      <c r="C682" s="37"/>
      <c r="D682" s="38"/>
      <c r="E682" s="38"/>
      <c r="F682" s="39"/>
      <c r="K682" s="5"/>
      <c r="L682" s="5"/>
      <c r="M682" s="5"/>
      <c r="N682" s="5"/>
      <c r="O682" s="5"/>
      <c r="P682" s="5"/>
    </row>
    <row r="683" spans="2:16" s="8" customFormat="1" ht="16.5" hidden="1">
      <c r="B683" s="37"/>
      <c r="C683" s="37"/>
      <c r="D683" s="38"/>
      <c r="E683" s="38"/>
      <c r="F683" s="39"/>
      <c r="K683" s="5"/>
      <c r="L683" s="5"/>
      <c r="M683" s="5"/>
      <c r="N683" s="5"/>
      <c r="O683" s="5"/>
      <c r="P683" s="5"/>
    </row>
    <row r="684" spans="2:16" s="8" customFormat="1" ht="16.5" hidden="1">
      <c r="B684" s="37"/>
      <c r="C684" s="37"/>
      <c r="D684" s="38"/>
      <c r="E684" s="38"/>
      <c r="F684" s="39"/>
      <c r="K684" s="5"/>
      <c r="L684" s="5"/>
      <c r="M684" s="5"/>
      <c r="N684" s="5"/>
      <c r="O684" s="5"/>
      <c r="P684" s="5"/>
    </row>
    <row r="685" spans="2:16" s="8" customFormat="1" ht="16.5" hidden="1">
      <c r="B685" s="37"/>
      <c r="C685" s="37"/>
      <c r="D685" s="38"/>
      <c r="E685" s="38"/>
      <c r="F685" s="39"/>
      <c r="K685" s="5"/>
      <c r="L685" s="5"/>
      <c r="M685" s="5"/>
      <c r="N685" s="5"/>
      <c r="O685" s="5"/>
      <c r="P685" s="5"/>
    </row>
    <row r="686" spans="2:16" s="8" customFormat="1" ht="16.5" hidden="1">
      <c r="B686" s="37"/>
      <c r="C686" s="37"/>
      <c r="D686" s="38"/>
      <c r="E686" s="38"/>
      <c r="F686" s="39"/>
      <c r="K686" s="5"/>
      <c r="L686" s="5"/>
      <c r="M686" s="5"/>
      <c r="N686" s="5"/>
      <c r="O686" s="5"/>
      <c r="P686" s="5"/>
    </row>
    <row r="687" spans="2:16" s="8" customFormat="1" ht="16.5" hidden="1">
      <c r="B687" s="37"/>
      <c r="C687" s="37"/>
      <c r="D687" s="38"/>
      <c r="E687" s="38"/>
      <c r="F687" s="39"/>
      <c r="K687" s="5"/>
      <c r="L687" s="5"/>
      <c r="M687" s="5"/>
      <c r="N687" s="5"/>
      <c r="O687" s="5"/>
      <c r="P687" s="5"/>
    </row>
    <row r="688" spans="2:16" s="8" customFormat="1" ht="16.5" hidden="1">
      <c r="B688" s="37"/>
      <c r="C688" s="37"/>
      <c r="D688" s="38"/>
      <c r="E688" s="38"/>
      <c r="F688" s="39"/>
      <c r="K688" s="5"/>
      <c r="L688" s="5"/>
      <c r="M688" s="5"/>
      <c r="N688" s="5"/>
      <c r="O688" s="5"/>
      <c r="P688" s="5"/>
    </row>
    <row r="689" spans="2:16" s="8" customFormat="1" ht="16.5" hidden="1">
      <c r="B689" s="37"/>
      <c r="C689" s="37"/>
      <c r="D689" s="38"/>
      <c r="E689" s="38"/>
      <c r="F689" s="39"/>
      <c r="K689" s="5"/>
      <c r="L689" s="5"/>
      <c r="M689" s="5"/>
      <c r="N689" s="5"/>
      <c r="O689" s="5"/>
      <c r="P689" s="5"/>
    </row>
    <row r="690" spans="2:16" s="8" customFormat="1" ht="16.5" hidden="1">
      <c r="B690" s="37"/>
      <c r="C690" s="37"/>
      <c r="D690" s="38"/>
      <c r="E690" s="38"/>
      <c r="F690" s="39"/>
      <c r="K690" s="5"/>
      <c r="L690" s="5"/>
      <c r="M690" s="5"/>
      <c r="N690" s="5"/>
      <c r="O690" s="5"/>
      <c r="P690" s="5"/>
    </row>
    <row r="691" spans="2:16" s="8" customFormat="1" ht="16.5" hidden="1">
      <c r="B691" s="37"/>
      <c r="C691" s="37"/>
      <c r="D691" s="38"/>
      <c r="E691" s="38"/>
      <c r="F691" s="39"/>
      <c r="K691" s="5"/>
      <c r="L691" s="5"/>
      <c r="M691" s="5"/>
      <c r="N691" s="5"/>
      <c r="O691" s="5"/>
      <c r="P691" s="5"/>
    </row>
    <row r="692" spans="2:16" s="8" customFormat="1" ht="16.5" hidden="1">
      <c r="B692" s="37"/>
      <c r="C692" s="37"/>
      <c r="D692" s="38"/>
      <c r="E692" s="38"/>
      <c r="F692" s="39"/>
      <c r="K692" s="5"/>
      <c r="L692" s="5"/>
      <c r="M692" s="5"/>
      <c r="N692" s="5"/>
      <c r="O692" s="5"/>
      <c r="P692" s="5"/>
    </row>
    <row r="693" spans="2:16" s="8" customFormat="1" ht="16.5" hidden="1">
      <c r="B693" s="37"/>
      <c r="C693" s="37"/>
      <c r="D693" s="38"/>
      <c r="E693" s="38"/>
      <c r="F693" s="39"/>
      <c r="K693" s="5"/>
      <c r="L693" s="5"/>
      <c r="M693" s="5"/>
      <c r="N693" s="5"/>
      <c r="O693" s="5"/>
      <c r="P693" s="5"/>
    </row>
    <row r="694" spans="2:16" s="8" customFormat="1" ht="16.5" hidden="1">
      <c r="B694" s="37"/>
      <c r="C694" s="37"/>
      <c r="D694" s="38"/>
      <c r="E694" s="38"/>
      <c r="F694" s="39"/>
      <c r="K694" s="5"/>
      <c r="L694" s="5"/>
      <c r="M694" s="5"/>
      <c r="N694" s="5"/>
      <c r="O694" s="5"/>
      <c r="P694" s="5"/>
    </row>
    <row r="695" spans="2:16" s="8" customFormat="1" ht="16.5" hidden="1">
      <c r="B695" s="37"/>
      <c r="C695" s="37"/>
      <c r="D695" s="38"/>
      <c r="E695" s="38"/>
      <c r="F695" s="39"/>
      <c r="K695" s="5"/>
      <c r="L695" s="5"/>
      <c r="M695" s="5"/>
      <c r="N695" s="5"/>
      <c r="O695" s="5"/>
      <c r="P695" s="5"/>
    </row>
    <row r="696" spans="2:16" s="8" customFormat="1" ht="16.5" hidden="1">
      <c r="B696" s="37"/>
      <c r="C696" s="37"/>
      <c r="D696" s="38"/>
      <c r="E696" s="38"/>
      <c r="F696" s="39"/>
      <c r="K696" s="5"/>
      <c r="L696" s="5"/>
      <c r="M696" s="5"/>
      <c r="N696" s="5"/>
      <c r="O696" s="5"/>
      <c r="P696" s="5"/>
    </row>
    <row r="697" spans="2:16" s="8" customFormat="1" ht="16.5" hidden="1">
      <c r="B697" s="37"/>
      <c r="C697" s="37"/>
      <c r="D697" s="38"/>
      <c r="E697" s="38"/>
      <c r="F697" s="39"/>
      <c r="K697" s="5"/>
      <c r="L697" s="5"/>
      <c r="M697" s="5"/>
      <c r="N697" s="5"/>
      <c r="O697" s="5"/>
      <c r="P697" s="5"/>
    </row>
    <row r="698" spans="2:16" s="8" customFormat="1" ht="16.5" hidden="1">
      <c r="B698" s="37"/>
      <c r="C698" s="37"/>
      <c r="D698" s="38"/>
      <c r="E698" s="38"/>
      <c r="F698" s="39"/>
      <c r="K698" s="5"/>
      <c r="L698" s="5"/>
      <c r="M698" s="5"/>
      <c r="N698" s="5"/>
      <c r="O698" s="5"/>
      <c r="P698" s="5"/>
    </row>
    <row r="699" spans="2:16" s="8" customFormat="1" ht="16.5" hidden="1">
      <c r="B699" s="37"/>
      <c r="C699" s="37"/>
      <c r="D699" s="38"/>
      <c r="E699" s="38"/>
      <c r="F699" s="39"/>
      <c r="K699" s="5"/>
      <c r="L699" s="5"/>
      <c r="M699" s="5"/>
      <c r="N699" s="5"/>
      <c r="O699" s="5"/>
      <c r="P699" s="5"/>
    </row>
    <row r="700" spans="2:16" s="8" customFormat="1" ht="16.5" hidden="1">
      <c r="B700" s="37"/>
      <c r="C700" s="37"/>
      <c r="D700" s="38"/>
      <c r="E700" s="38"/>
      <c r="F700" s="39"/>
      <c r="K700" s="5"/>
      <c r="L700" s="5"/>
      <c r="M700" s="5"/>
      <c r="N700" s="5"/>
      <c r="O700" s="5"/>
      <c r="P700" s="5"/>
    </row>
    <row r="701" spans="2:16" s="8" customFormat="1" ht="16.5" hidden="1">
      <c r="B701" s="37"/>
      <c r="C701" s="37"/>
      <c r="D701" s="38"/>
      <c r="E701" s="38"/>
      <c r="F701" s="39"/>
      <c r="K701" s="5"/>
      <c r="L701" s="5"/>
      <c r="M701" s="5"/>
      <c r="N701" s="5"/>
      <c r="O701" s="5"/>
      <c r="P701" s="5"/>
    </row>
    <row r="702" spans="2:16" s="8" customFormat="1" ht="16.5" hidden="1">
      <c r="B702" s="37"/>
      <c r="C702" s="37"/>
      <c r="D702" s="38"/>
      <c r="E702" s="38"/>
      <c r="F702" s="39"/>
      <c r="K702" s="5"/>
      <c r="L702" s="5"/>
      <c r="M702" s="5"/>
      <c r="N702" s="5"/>
      <c r="O702" s="5"/>
      <c r="P702" s="5"/>
    </row>
    <row r="703" spans="2:16" s="8" customFormat="1" ht="16.5" hidden="1">
      <c r="B703" s="37"/>
      <c r="C703" s="37"/>
      <c r="D703" s="38"/>
      <c r="E703" s="38"/>
      <c r="F703" s="39"/>
      <c r="K703" s="5"/>
      <c r="L703" s="5"/>
      <c r="M703" s="5"/>
      <c r="N703" s="5"/>
      <c r="O703" s="5"/>
      <c r="P703" s="5"/>
    </row>
    <row r="704" spans="2:16" s="8" customFormat="1" ht="16.5" hidden="1">
      <c r="B704" s="37"/>
      <c r="C704" s="37"/>
      <c r="D704" s="38"/>
      <c r="E704" s="38"/>
      <c r="F704" s="39"/>
      <c r="K704" s="5"/>
      <c r="L704" s="5"/>
      <c r="M704" s="5"/>
      <c r="N704" s="5"/>
      <c r="O704" s="5"/>
      <c r="P704" s="5"/>
    </row>
    <row r="705" spans="2:16" s="8" customFormat="1" ht="16.5" hidden="1">
      <c r="B705" s="37"/>
      <c r="C705" s="37"/>
      <c r="D705" s="38"/>
      <c r="E705" s="38"/>
      <c r="F705" s="39"/>
      <c r="K705" s="5"/>
      <c r="L705" s="5"/>
      <c r="M705" s="5"/>
      <c r="N705" s="5"/>
      <c r="O705" s="5"/>
      <c r="P705" s="5"/>
    </row>
    <row r="706" spans="2:16" s="8" customFormat="1" ht="16.5" hidden="1">
      <c r="B706" s="37"/>
      <c r="C706" s="37"/>
      <c r="D706" s="38"/>
      <c r="E706" s="38"/>
      <c r="F706" s="39"/>
      <c r="K706" s="5"/>
      <c r="L706" s="5"/>
      <c r="M706" s="5"/>
      <c r="N706" s="5"/>
      <c r="O706" s="5"/>
      <c r="P706" s="5"/>
    </row>
    <row r="707" spans="2:16" s="8" customFormat="1" ht="16.5" hidden="1">
      <c r="B707" s="37"/>
      <c r="C707" s="37"/>
      <c r="D707" s="38"/>
      <c r="E707" s="38"/>
      <c r="F707" s="39"/>
      <c r="K707" s="5"/>
      <c r="L707" s="5"/>
      <c r="M707" s="5"/>
      <c r="N707" s="5"/>
      <c r="O707" s="5"/>
      <c r="P707" s="5"/>
    </row>
    <row r="708" spans="2:16" s="8" customFormat="1" ht="16.5" hidden="1">
      <c r="B708" s="37"/>
      <c r="C708" s="37"/>
      <c r="D708" s="38"/>
      <c r="E708" s="38"/>
      <c r="F708" s="39"/>
      <c r="K708" s="5"/>
      <c r="L708" s="5"/>
      <c r="M708" s="5"/>
      <c r="N708" s="5"/>
      <c r="O708" s="5"/>
      <c r="P708" s="5"/>
    </row>
    <row r="709" spans="2:16" s="8" customFormat="1" ht="16.5" hidden="1">
      <c r="B709" s="37"/>
      <c r="C709" s="37"/>
      <c r="D709" s="38"/>
      <c r="E709" s="38"/>
      <c r="F709" s="39"/>
      <c r="K709" s="5"/>
      <c r="L709" s="5"/>
      <c r="M709" s="5"/>
      <c r="N709" s="5"/>
      <c r="O709" s="5"/>
      <c r="P709" s="5"/>
    </row>
    <row r="710" spans="2:16" s="8" customFormat="1" ht="16.5" hidden="1">
      <c r="B710" s="37"/>
      <c r="C710" s="37"/>
      <c r="D710" s="38"/>
      <c r="E710" s="38"/>
      <c r="F710" s="39"/>
      <c r="K710" s="5"/>
      <c r="L710" s="5"/>
      <c r="M710" s="5"/>
      <c r="N710" s="5"/>
      <c r="O710" s="5"/>
      <c r="P710" s="5"/>
    </row>
    <row r="711" spans="2:16" s="8" customFormat="1" ht="16.5" hidden="1">
      <c r="B711" s="37"/>
      <c r="C711" s="37"/>
      <c r="D711" s="38"/>
      <c r="E711" s="38"/>
      <c r="F711" s="39"/>
      <c r="K711" s="5"/>
      <c r="L711" s="5"/>
      <c r="M711" s="5"/>
      <c r="N711" s="5"/>
      <c r="O711" s="5"/>
      <c r="P711" s="5"/>
    </row>
    <row r="712" spans="2:16" s="8" customFormat="1" ht="16.5" hidden="1">
      <c r="B712" s="37"/>
      <c r="C712" s="37"/>
      <c r="D712" s="38"/>
      <c r="E712" s="38"/>
      <c r="F712" s="39"/>
      <c r="K712" s="5"/>
      <c r="L712" s="5"/>
      <c r="M712" s="5"/>
      <c r="N712" s="5"/>
      <c r="O712" s="5"/>
      <c r="P712" s="5"/>
    </row>
    <row r="713" spans="2:16" s="8" customFormat="1" ht="16.5" hidden="1">
      <c r="B713" s="37"/>
      <c r="C713" s="37"/>
      <c r="D713" s="38"/>
      <c r="E713" s="38"/>
      <c r="F713" s="39"/>
      <c r="K713" s="5"/>
      <c r="L713" s="5"/>
      <c r="M713" s="5"/>
      <c r="N713" s="5"/>
      <c r="O713" s="5"/>
      <c r="P713" s="5"/>
    </row>
    <row r="714" spans="2:16" s="8" customFormat="1" ht="16.5" hidden="1">
      <c r="B714" s="37"/>
      <c r="C714" s="37"/>
      <c r="D714" s="38"/>
      <c r="E714" s="38"/>
      <c r="F714" s="39"/>
      <c r="K714" s="5"/>
      <c r="L714" s="5"/>
      <c r="M714" s="5"/>
      <c r="N714" s="5"/>
      <c r="O714" s="5"/>
      <c r="P714" s="5"/>
    </row>
    <row r="715" spans="2:16" s="8" customFormat="1" ht="16.5" hidden="1">
      <c r="B715" s="37"/>
      <c r="C715" s="37"/>
      <c r="D715" s="38"/>
      <c r="E715" s="38"/>
      <c r="F715" s="39"/>
      <c r="K715" s="5"/>
      <c r="L715" s="5"/>
      <c r="M715" s="5"/>
      <c r="N715" s="5"/>
      <c r="O715" s="5"/>
      <c r="P715" s="5"/>
    </row>
    <row r="716" spans="2:16" s="8" customFormat="1" ht="16.5" hidden="1">
      <c r="B716" s="37"/>
      <c r="C716" s="37"/>
      <c r="D716" s="38"/>
      <c r="E716" s="38"/>
      <c r="F716" s="39"/>
      <c r="K716" s="5"/>
      <c r="L716" s="5"/>
      <c r="M716" s="5"/>
      <c r="N716" s="5"/>
      <c r="O716" s="5"/>
      <c r="P716" s="5"/>
    </row>
    <row r="717" spans="2:16" s="8" customFormat="1" ht="16.5" hidden="1">
      <c r="B717" s="37"/>
      <c r="C717" s="37"/>
      <c r="D717" s="38"/>
      <c r="E717" s="38"/>
      <c r="F717" s="39"/>
      <c r="K717" s="5"/>
      <c r="L717" s="5"/>
      <c r="M717" s="5"/>
      <c r="N717" s="5"/>
      <c r="O717" s="5"/>
      <c r="P717" s="5"/>
    </row>
    <row r="718" spans="2:16" s="8" customFormat="1" ht="16.5" hidden="1">
      <c r="B718" s="37"/>
      <c r="C718" s="37"/>
      <c r="D718" s="38"/>
      <c r="E718" s="38"/>
      <c r="F718" s="39"/>
      <c r="K718" s="5"/>
      <c r="L718" s="5"/>
      <c r="M718" s="5"/>
      <c r="N718" s="5"/>
      <c r="O718" s="5"/>
      <c r="P718" s="5"/>
    </row>
    <row r="719" spans="2:16" s="8" customFormat="1" ht="16.5" hidden="1">
      <c r="B719" s="37"/>
      <c r="C719" s="37"/>
      <c r="D719" s="38"/>
      <c r="E719" s="38"/>
      <c r="F719" s="39"/>
      <c r="K719" s="5"/>
      <c r="L719" s="5"/>
      <c r="M719" s="5"/>
      <c r="N719" s="5"/>
      <c r="O719" s="5"/>
      <c r="P719" s="5"/>
    </row>
    <row r="720" spans="2:16" s="8" customFormat="1" ht="16.5" hidden="1">
      <c r="B720" s="37"/>
      <c r="C720" s="37"/>
      <c r="D720" s="38"/>
      <c r="E720" s="38"/>
      <c r="F720" s="39"/>
      <c r="K720" s="5"/>
      <c r="L720" s="5"/>
      <c r="M720" s="5"/>
      <c r="N720" s="5"/>
      <c r="O720" s="5"/>
      <c r="P720" s="5"/>
    </row>
    <row r="721" spans="2:16" s="8" customFormat="1" ht="16.5" hidden="1">
      <c r="B721" s="37"/>
      <c r="C721" s="37"/>
      <c r="D721" s="38"/>
      <c r="E721" s="38"/>
      <c r="F721" s="39"/>
      <c r="K721" s="5"/>
      <c r="L721" s="5"/>
      <c r="M721" s="5"/>
      <c r="N721" s="5"/>
      <c r="O721" s="5"/>
      <c r="P721" s="5"/>
    </row>
    <row r="722" spans="2:16" s="8" customFormat="1" ht="16.5" hidden="1">
      <c r="B722" s="37"/>
      <c r="C722" s="37"/>
      <c r="D722" s="38"/>
      <c r="E722" s="38"/>
      <c r="F722" s="39"/>
      <c r="K722" s="5"/>
      <c r="L722" s="5"/>
      <c r="M722" s="5"/>
      <c r="N722" s="5"/>
      <c r="O722" s="5"/>
      <c r="P722" s="5"/>
    </row>
    <row r="723" spans="2:16" s="8" customFormat="1" ht="16.5" hidden="1">
      <c r="B723" s="37"/>
      <c r="C723" s="37"/>
      <c r="D723" s="38"/>
      <c r="E723" s="38"/>
      <c r="F723" s="39"/>
      <c r="K723" s="5"/>
      <c r="L723" s="5"/>
      <c r="M723" s="5"/>
      <c r="N723" s="5"/>
      <c r="O723" s="5"/>
      <c r="P723" s="5"/>
    </row>
    <row r="724" spans="2:16" s="8" customFormat="1" ht="16.5" hidden="1">
      <c r="B724" s="37"/>
      <c r="C724" s="37"/>
      <c r="D724" s="38"/>
      <c r="E724" s="38"/>
      <c r="F724" s="39"/>
      <c r="K724" s="5"/>
      <c r="L724" s="5"/>
      <c r="M724" s="5"/>
      <c r="N724" s="5"/>
      <c r="O724" s="5"/>
      <c r="P724" s="5"/>
    </row>
    <row r="725" spans="2:16" s="8" customFormat="1" ht="16.5" hidden="1">
      <c r="B725" s="37"/>
      <c r="C725" s="37"/>
      <c r="D725" s="38"/>
      <c r="E725" s="38"/>
      <c r="F725" s="39"/>
      <c r="K725" s="5"/>
      <c r="L725" s="5"/>
      <c r="M725" s="5"/>
      <c r="N725" s="5"/>
      <c r="O725" s="5"/>
      <c r="P725" s="5"/>
    </row>
    <row r="726" spans="2:16" s="8" customFormat="1" ht="16.5" hidden="1">
      <c r="B726" s="37"/>
      <c r="C726" s="37"/>
      <c r="D726" s="38"/>
      <c r="E726" s="38"/>
      <c r="F726" s="39"/>
      <c r="K726" s="5"/>
      <c r="L726" s="5"/>
      <c r="M726" s="5"/>
      <c r="N726" s="5"/>
      <c r="O726" s="5"/>
      <c r="P726" s="5"/>
    </row>
    <row r="727" spans="2:16" s="8" customFormat="1" ht="16.5" hidden="1">
      <c r="B727" s="37"/>
      <c r="C727" s="37"/>
      <c r="D727" s="38"/>
      <c r="E727" s="38"/>
      <c r="F727" s="39"/>
      <c r="K727" s="5"/>
      <c r="L727" s="5"/>
      <c r="M727" s="5"/>
      <c r="N727" s="5"/>
      <c r="O727" s="5"/>
      <c r="P727" s="5"/>
    </row>
    <row r="728" spans="2:16" s="8" customFormat="1" ht="16.5" hidden="1">
      <c r="B728" s="37"/>
      <c r="C728" s="37"/>
      <c r="D728" s="38"/>
      <c r="E728" s="38"/>
      <c r="F728" s="39"/>
      <c r="K728" s="5"/>
      <c r="L728" s="5"/>
      <c r="M728" s="5"/>
      <c r="N728" s="5"/>
      <c r="O728" s="5"/>
      <c r="P728" s="5"/>
    </row>
    <row r="729" spans="2:16" s="8" customFormat="1" ht="16.5" hidden="1">
      <c r="B729" s="37"/>
      <c r="C729" s="37"/>
      <c r="D729" s="38"/>
      <c r="E729" s="38"/>
      <c r="F729" s="39"/>
      <c r="K729" s="5"/>
      <c r="L729" s="5"/>
      <c r="M729" s="5"/>
      <c r="N729" s="5"/>
      <c r="O729" s="5"/>
      <c r="P729" s="5"/>
    </row>
    <row r="730" spans="2:16" s="8" customFormat="1" ht="16.5" hidden="1">
      <c r="B730" s="37"/>
      <c r="C730" s="37"/>
      <c r="D730" s="38"/>
      <c r="E730" s="38"/>
      <c r="F730" s="39"/>
      <c r="K730" s="5"/>
      <c r="L730" s="5"/>
      <c r="M730" s="5"/>
      <c r="N730" s="5"/>
      <c r="O730" s="5"/>
      <c r="P730" s="5"/>
    </row>
    <row r="731" spans="2:16" s="8" customFormat="1" ht="16.5" hidden="1">
      <c r="B731" s="37"/>
      <c r="C731" s="37"/>
      <c r="D731" s="38"/>
      <c r="E731" s="38"/>
      <c r="F731" s="39"/>
      <c r="K731" s="5"/>
      <c r="L731" s="5"/>
      <c r="M731" s="5"/>
      <c r="N731" s="5"/>
      <c r="O731" s="5"/>
      <c r="P731" s="5"/>
    </row>
    <row r="732" spans="2:16" s="8" customFormat="1" ht="16.5" hidden="1">
      <c r="B732" s="37"/>
      <c r="C732" s="37"/>
      <c r="D732" s="38"/>
      <c r="E732" s="38"/>
      <c r="F732" s="39"/>
      <c r="K732" s="5"/>
      <c r="L732" s="5"/>
      <c r="M732" s="5"/>
      <c r="N732" s="5"/>
      <c r="O732" s="5"/>
      <c r="P732" s="5"/>
    </row>
    <row r="733" spans="2:16" s="8" customFormat="1" ht="16.5" hidden="1">
      <c r="B733" s="37"/>
      <c r="C733" s="37"/>
      <c r="D733" s="38"/>
      <c r="E733" s="38"/>
      <c r="F733" s="39"/>
      <c r="K733" s="5"/>
      <c r="L733" s="5"/>
      <c r="M733" s="5"/>
      <c r="N733" s="5"/>
      <c r="O733" s="5"/>
      <c r="P733" s="5"/>
    </row>
    <row r="734" spans="2:16" s="8" customFormat="1" ht="16.5" hidden="1">
      <c r="B734" s="37"/>
      <c r="C734" s="37"/>
      <c r="D734" s="38"/>
      <c r="E734" s="38"/>
      <c r="F734" s="39"/>
      <c r="K734" s="5"/>
      <c r="L734" s="5"/>
      <c r="M734" s="5"/>
      <c r="N734" s="5"/>
      <c r="O734" s="5"/>
      <c r="P734" s="5"/>
    </row>
    <row r="735" spans="2:16" s="8" customFormat="1" ht="16.5" hidden="1">
      <c r="B735" s="37"/>
      <c r="C735" s="37"/>
      <c r="D735" s="38"/>
      <c r="E735" s="38"/>
      <c r="F735" s="39"/>
      <c r="K735" s="5"/>
      <c r="L735" s="5"/>
      <c r="M735" s="5"/>
      <c r="N735" s="5"/>
      <c r="O735" s="5"/>
      <c r="P735" s="5"/>
    </row>
    <row r="736" spans="2:16" s="8" customFormat="1" ht="16.5" hidden="1">
      <c r="B736" s="37"/>
      <c r="C736" s="37"/>
      <c r="D736" s="38"/>
      <c r="E736" s="38"/>
      <c r="F736" s="39"/>
      <c r="K736" s="5"/>
      <c r="L736" s="5"/>
      <c r="M736" s="5"/>
      <c r="N736" s="5"/>
      <c r="O736" s="5"/>
      <c r="P736" s="5"/>
    </row>
    <row r="737" spans="2:16" s="8" customFormat="1" ht="16.5" hidden="1">
      <c r="B737" s="37"/>
      <c r="C737" s="37"/>
      <c r="D737" s="38"/>
      <c r="E737" s="38"/>
      <c r="F737" s="39"/>
      <c r="K737" s="5"/>
      <c r="L737" s="5"/>
      <c r="M737" s="5"/>
      <c r="N737" s="5"/>
      <c r="O737" s="5"/>
      <c r="P737" s="5"/>
    </row>
    <row r="738" spans="2:16" s="8" customFormat="1" ht="16.5" hidden="1">
      <c r="B738" s="37"/>
      <c r="C738" s="37"/>
      <c r="D738" s="38"/>
      <c r="E738" s="38"/>
      <c r="F738" s="39"/>
      <c r="K738" s="5"/>
      <c r="L738" s="5"/>
      <c r="M738" s="5"/>
      <c r="N738" s="5"/>
      <c r="O738" s="5"/>
      <c r="P738" s="5"/>
    </row>
    <row r="739" spans="2:16" s="8" customFormat="1" ht="16.5" hidden="1">
      <c r="B739" s="37"/>
      <c r="C739" s="37"/>
      <c r="D739" s="38"/>
      <c r="E739" s="38"/>
      <c r="F739" s="39"/>
      <c r="K739" s="5"/>
      <c r="L739" s="5"/>
      <c r="M739" s="5"/>
      <c r="N739" s="5"/>
      <c r="O739" s="5"/>
      <c r="P739" s="5"/>
    </row>
    <row r="740" spans="2:16" s="8" customFormat="1" ht="16.5" hidden="1">
      <c r="B740" s="37"/>
      <c r="C740" s="37"/>
      <c r="D740" s="38"/>
      <c r="E740" s="38"/>
      <c r="F740" s="39"/>
      <c r="K740" s="5"/>
      <c r="L740" s="5"/>
      <c r="M740" s="5"/>
      <c r="N740" s="5"/>
      <c r="O740" s="5"/>
      <c r="P740" s="5"/>
    </row>
    <row r="741" spans="2:16" s="8" customFormat="1" ht="16.5" hidden="1">
      <c r="B741" s="37"/>
      <c r="C741" s="37"/>
      <c r="D741" s="38"/>
      <c r="E741" s="38"/>
      <c r="F741" s="39"/>
      <c r="K741" s="5"/>
      <c r="L741" s="5"/>
      <c r="M741" s="5"/>
      <c r="N741" s="5"/>
      <c r="O741" s="5"/>
      <c r="P741" s="5"/>
    </row>
    <row r="742" spans="2:16" s="8" customFormat="1" ht="16.5" hidden="1">
      <c r="B742" s="37"/>
      <c r="C742" s="37"/>
      <c r="D742" s="38"/>
      <c r="E742" s="38"/>
      <c r="F742" s="39"/>
      <c r="K742" s="5"/>
      <c r="L742" s="5"/>
      <c r="M742" s="5"/>
      <c r="N742" s="5"/>
      <c r="O742" s="5"/>
      <c r="P742" s="5"/>
    </row>
    <row r="743" spans="2:16" s="8" customFormat="1" ht="16.5" hidden="1">
      <c r="B743" s="37"/>
      <c r="C743" s="37"/>
      <c r="D743" s="38"/>
      <c r="E743" s="38"/>
      <c r="F743" s="39"/>
      <c r="K743" s="5"/>
      <c r="L743" s="5"/>
      <c r="M743" s="5"/>
      <c r="N743" s="5"/>
      <c r="O743" s="5"/>
      <c r="P743" s="5"/>
    </row>
    <row r="744" spans="2:16" s="8" customFormat="1" ht="16.5" hidden="1">
      <c r="B744" s="37"/>
      <c r="C744" s="37"/>
      <c r="D744" s="38"/>
      <c r="E744" s="38"/>
      <c r="F744" s="39"/>
      <c r="K744" s="5"/>
      <c r="L744" s="5"/>
      <c r="M744" s="5"/>
      <c r="N744" s="5"/>
      <c r="O744" s="5"/>
      <c r="P744" s="5"/>
    </row>
    <row r="745" spans="2:16" s="8" customFormat="1" ht="16.5" hidden="1">
      <c r="B745" s="37"/>
      <c r="C745" s="37"/>
      <c r="D745" s="38"/>
      <c r="E745" s="38"/>
      <c r="F745" s="39"/>
      <c r="K745" s="5"/>
      <c r="L745" s="5"/>
      <c r="M745" s="5"/>
      <c r="N745" s="5"/>
      <c r="O745" s="5"/>
      <c r="P745" s="5"/>
    </row>
    <row r="746" spans="2:16" s="8" customFormat="1" ht="16.5" hidden="1">
      <c r="B746" s="37"/>
      <c r="C746" s="37"/>
      <c r="D746" s="38"/>
      <c r="E746" s="38"/>
      <c r="F746" s="39"/>
      <c r="K746" s="5"/>
      <c r="L746" s="5"/>
      <c r="M746" s="5"/>
      <c r="N746" s="5"/>
      <c r="O746" s="5"/>
      <c r="P746" s="5"/>
    </row>
    <row r="747" spans="2:16" s="8" customFormat="1" ht="16.5" hidden="1">
      <c r="B747" s="37"/>
      <c r="C747" s="37"/>
      <c r="D747" s="38"/>
      <c r="E747" s="38"/>
      <c r="F747" s="39"/>
      <c r="K747" s="5"/>
      <c r="L747" s="5"/>
      <c r="M747" s="5"/>
      <c r="N747" s="5"/>
      <c r="O747" s="5"/>
      <c r="P747" s="5"/>
    </row>
    <row r="748" spans="2:16" s="8" customFormat="1" ht="16.5" hidden="1">
      <c r="B748" s="37"/>
      <c r="C748" s="37"/>
      <c r="D748" s="38"/>
      <c r="E748" s="38"/>
      <c r="F748" s="39"/>
      <c r="K748" s="5"/>
      <c r="L748" s="5"/>
      <c r="M748" s="5"/>
      <c r="N748" s="5"/>
      <c r="O748" s="5"/>
      <c r="P748" s="5"/>
    </row>
    <row r="749" spans="2:16" s="8" customFormat="1" ht="16.5" hidden="1">
      <c r="B749" s="37"/>
      <c r="C749" s="37"/>
      <c r="D749" s="38"/>
      <c r="E749" s="38"/>
      <c r="F749" s="39"/>
      <c r="K749" s="5"/>
      <c r="L749" s="5"/>
      <c r="M749" s="5"/>
      <c r="N749" s="5"/>
      <c r="O749" s="5"/>
      <c r="P749" s="5"/>
    </row>
    <row r="750" spans="2:16" s="8" customFormat="1" ht="16.5" hidden="1">
      <c r="B750" s="37"/>
      <c r="C750" s="37"/>
      <c r="D750" s="38"/>
      <c r="E750" s="38"/>
      <c r="F750" s="39"/>
      <c r="K750" s="5"/>
      <c r="L750" s="5"/>
      <c r="M750" s="5"/>
      <c r="N750" s="5"/>
      <c r="O750" s="5"/>
      <c r="P750" s="5"/>
    </row>
    <row r="751" spans="2:16" s="8" customFormat="1" ht="16.5" hidden="1">
      <c r="B751" s="37"/>
      <c r="C751" s="37"/>
      <c r="D751" s="38"/>
      <c r="E751" s="38"/>
      <c r="F751" s="39"/>
      <c r="K751" s="5"/>
      <c r="L751" s="5"/>
      <c r="M751" s="5"/>
      <c r="N751" s="5"/>
      <c r="O751" s="5"/>
      <c r="P751" s="5"/>
    </row>
    <row r="752" spans="2:16" s="8" customFormat="1" ht="16.5" hidden="1">
      <c r="B752" s="37"/>
      <c r="C752" s="37"/>
      <c r="D752" s="38"/>
      <c r="E752" s="38"/>
      <c r="F752" s="39"/>
      <c r="K752" s="5"/>
      <c r="L752" s="5"/>
      <c r="M752" s="5"/>
      <c r="N752" s="5"/>
      <c r="O752" s="5"/>
      <c r="P752" s="5"/>
    </row>
    <row r="753" spans="2:16" s="8" customFormat="1" ht="16.5" hidden="1">
      <c r="B753" s="37"/>
      <c r="C753" s="37"/>
      <c r="D753" s="38"/>
      <c r="E753" s="38"/>
      <c r="F753" s="39"/>
      <c r="K753" s="5"/>
      <c r="L753" s="5"/>
      <c r="M753" s="5"/>
      <c r="N753" s="5"/>
      <c r="O753" s="5"/>
      <c r="P753" s="5"/>
    </row>
    <row r="754" spans="2:16" s="8" customFormat="1" ht="16.5" hidden="1">
      <c r="B754" s="37"/>
      <c r="C754" s="37"/>
      <c r="D754" s="38"/>
      <c r="E754" s="38"/>
      <c r="F754" s="39"/>
      <c r="K754" s="5"/>
      <c r="L754" s="5"/>
      <c r="M754" s="5"/>
      <c r="N754" s="5"/>
      <c r="O754" s="5"/>
      <c r="P754" s="5"/>
    </row>
    <row r="755" spans="2:16" s="8" customFormat="1" ht="16.5" hidden="1">
      <c r="B755" s="37"/>
      <c r="C755" s="37"/>
      <c r="D755" s="38"/>
      <c r="E755" s="38"/>
      <c r="F755" s="39"/>
      <c r="K755" s="5"/>
      <c r="L755" s="5"/>
      <c r="M755" s="5"/>
      <c r="N755" s="5"/>
      <c r="O755" s="5"/>
      <c r="P755" s="5"/>
    </row>
    <row r="756" spans="2:16" s="8" customFormat="1" ht="16.5" hidden="1">
      <c r="B756" s="37"/>
      <c r="C756" s="37"/>
      <c r="D756" s="38"/>
      <c r="E756" s="38"/>
      <c r="F756" s="39"/>
      <c r="K756" s="5"/>
      <c r="L756" s="5"/>
      <c r="M756" s="5"/>
      <c r="N756" s="5"/>
      <c r="O756" s="5"/>
      <c r="P756" s="5"/>
    </row>
    <row r="757" spans="2:16" s="8" customFormat="1" ht="16.5" hidden="1">
      <c r="B757" s="37"/>
      <c r="C757" s="37"/>
      <c r="D757" s="38"/>
      <c r="E757" s="38"/>
      <c r="F757" s="39"/>
      <c r="K757" s="5"/>
      <c r="L757" s="5"/>
      <c r="M757" s="5"/>
      <c r="N757" s="5"/>
      <c r="O757" s="5"/>
      <c r="P757" s="5"/>
    </row>
    <row r="758" spans="2:16" s="8" customFormat="1" ht="16.5" hidden="1">
      <c r="B758" s="37"/>
      <c r="C758" s="37"/>
      <c r="D758" s="38"/>
      <c r="E758" s="38"/>
      <c r="F758" s="39"/>
      <c r="K758" s="5"/>
      <c r="L758" s="5"/>
      <c r="M758" s="5"/>
      <c r="N758" s="5"/>
      <c r="O758" s="5"/>
      <c r="P758" s="5"/>
    </row>
    <row r="759" spans="2:16" s="8" customFormat="1" ht="16.5" hidden="1">
      <c r="B759" s="37"/>
      <c r="C759" s="37"/>
      <c r="D759" s="38"/>
      <c r="E759" s="38"/>
      <c r="F759" s="39"/>
      <c r="K759" s="5"/>
      <c r="L759" s="5"/>
      <c r="M759" s="5"/>
      <c r="N759" s="5"/>
      <c r="O759" s="5"/>
      <c r="P759" s="5"/>
    </row>
    <row r="760" spans="2:16" s="8" customFormat="1" ht="16.5" hidden="1">
      <c r="B760" s="37"/>
      <c r="C760" s="37"/>
      <c r="D760" s="38"/>
      <c r="E760" s="38"/>
      <c r="F760" s="39"/>
      <c r="K760" s="5"/>
      <c r="L760" s="5"/>
      <c r="M760" s="5"/>
      <c r="N760" s="5"/>
      <c r="O760" s="5"/>
      <c r="P760" s="5"/>
    </row>
    <row r="761" spans="2:16" s="8" customFormat="1" ht="16.5" hidden="1">
      <c r="B761" s="37"/>
      <c r="C761" s="37"/>
      <c r="D761" s="38"/>
      <c r="E761" s="38"/>
      <c r="F761" s="39"/>
      <c r="K761" s="5"/>
      <c r="L761" s="5"/>
      <c r="M761" s="5"/>
      <c r="N761" s="5"/>
      <c r="O761" s="5"/>
      <c r="P761" s="5"/>
    </row>
    <row r="762" spans="2:16" s="8" customFormat="1" ht="16.5" hidden="1">
      <c r="B762" s="37"/>
      <c r="C762" s="37"/>
      <c r="D762" s="38"/>
      <c r="E762" s="38"/>
      <c r="F762" s="39"/>
      <c r="K762" s="5"/>
      <c r="L762" s="5"/>
      <c r="M762" s="5"/>
      <c r="N762" s="5"/>
      <c r="O762" s="5"/>
      <c r="P762" s="5"/>
    </row>
    <row r="763" spans="2:16" s="8" customFormat="1" ht="16.5" hidden="1">
      <c r="B763" s="37"/>
      <c r="C763" s="37"/>
      <c r="D763" s="38"/>
      <c r="E763" s="38"/>
      <c r="F763" s="39"/>
      <c r="K763" s="5"/>
      <c r="L763" s="5"/>
      <c r="M763" s="5"/>
      <c r="N763" s="5"/>
      <c r="O763" s="5"/>
      <c r="P763" s="5"/>
    </row>
    <row r="764" spans="2:16" s="8" customFormat="1" ht="16.5" hidden="1">
      <c r="B764" s="37"/>
      <c r="C764" s="37"/>
      <c r="D764" s="38"/>
      <c r="E764" s="38"/>
      <c r="F764" s="39"/>
      <c r="K764" s="5"/>
      <c r="L764" s="5"/>
      <c r="M764" s="5"/>
      <c r="N764" s="5"/>
      <c r="O764" s="5"/>
      <c r="P764" s="5"/>
    </row>
    <row r="765" spans="2:16" s="8" customFormat="1" ht="16.5" hidden="1">
      <c r="B765" s="37"/>
      <c r="C765" s="37"/>
      <c r="D765" s="38"/>
      <c r="E765" s="38"/>
      <c r="F765" s="39"/>
      <c r="K765" s="5"/>
      <c r="L765" s="5"/>
      <c r="M765" s="5"/>
      <c r="N765" s="5"/>
      <c r="O765" s="5"/>
      <c r="P765" s="5"/>
    </row>
    <row r="766" spans="2:16" s="8" customFormat="1" ht="16.5" hidden="1">
      <c r="B766" s="37"/>
      <c r="C766" s="37"/>
      <c r="D766" s="38"/>
      <c r="E766" s="38"/>
      <c r="F766" s="39"/>
      <c r="K766" s="5"/>
      <c r="L766" s="5"/>
      <c r="M766" s="5"/>
      <c r="N766" s="5"/>
      <c r="O766" s="5"/>
      <c r="P766" s="5"/>
    </row>
    <row r="767" spans="2:16" s="8" customFormat="1" ht="16.5" hidden="1">
      <c r="B767" s="37"/>
      <c r="C767" s="37"/>
      <c r="D767" s="38"/>
      <c r="E767" s="38"/>
      <c r="F767" s="39"/>
      <c r="K767" s="5"/>
      <c r="L767" s="5"/>
      <c r="M767" s="5"/>
      <c r="N767" s="5"/>
      <c r="O767" s="5"/>
      <c r="P767" s="5"/>
    </row>
    <row r="768" spans="2:16" s="8" customFormat="1" ht="16.5" hidden="1">
      <c r="B768" s="37"/>
      <c r="C768" s="37"/>
      <c r="D768" s="38"/>
      <c r="E768" s="38"/>
      <c r="F768" s="39"/>
      <c r="K768" s="5"/>
      <c r="L768" s="5"/>
      <c r="M768" s="5"/>
      <c r="N768" s="5"/>
      <c r="O768" s="5"/>
      <c r="P768" s="5"/>
    </row>
    <row r="769" spans="2:16" s="8" customFormat="1" ht="16.5" hidden="1">
      <c r="B769" s="37"/>
      <c r="C769" s="37"/>
      <c r="D769" s="38"/>
      <c r="E769" s="38"/>
      <c r="F769" s="39"/>
      <c r="K769" s="5"/>
      <c r="L769" s="5"/>
      <c r="M769" s="5"/>
      <c r="N769" s="5"/>
      <c r="O769" s="5"/>
      <c r="P769" s="5"/>
    </row>
    <row r="770" spans="2:16" s="8" customFormat="1" ht="16.5" hidden="1">
      <c r="B770" s="37"/>
      <c r="C770" s="37"/>
      <c r="D770" s="38"/>
      <c r="E770" s="38"/>
      <c r="F770" s="39"/>
      <c r="K770" s="5"/>
      <c r="L770" s="5"/>
      <c r="M770" s="5"/>
      <c r="N770" s="5"/>
      <c r="O770" s="5"/>
      <c r="P770" s="5"/>
    </row>
    <row r="771" spans="2:16" s="8" customFormat="1" ht="16.5" hidden="1">
      <c r="B771" s="37"/>
      <c r="C771" s="37"/>
      <c r="D771" s="38"/>
      <c r="E771" s="38"/>
      <c r="F771" s="39"/>
      <c r="K771" s="5"/>
      <c r="L771" s="5"/>
      <c r="M771" s="5"/>
      <c r="N771" s="5"/>
      <c r="O771" s="5"/>
      <c r="P771" s="5"/>
    </row>
    <row r="772" spans="2:16" s="8" customFormat="1" ht="16.5" hidden="1">
      <c r="B772" s="37"/>
      <c r="C772" s="37"/>
      <c r="D772" s="38"/>
      <c r="E772" s="38"/>
      <c r="F772" s="39"/>
      <c r="K772" s="5"/>
      <c r="L772" s="5"/>
      <c r="M772" s="5"/>
      <c r="N772" s="5"/>
      <c r="O772" s="5"/>
      <c r="P772" s="5"/>
    </row>
    <row r="773" spans="2:16" s="8" customFormat="1" ht="16.5" hidden="1">
      <c r="B773" s="37"/>
      <c r="C773" s="37"/>
      <c r="D773" s="38"/>
      <c r="E773" s="38"/>
      <c r="F773" s="39"/>
      <c r="K773" s="5"/>
      <c r="L773" s="5"/>
      <c r="M773" s="5"/>
      <c r="N773" s="5"/>
      <c r="O773" s="5"/>
      <c r="P773" s="5"/>
    </row>
    <row r="774" spans="2:16" s="8" customFormat="1" ht="16.5" hidden="1">
      <c r="B774" s="37"/>
      <c r="C774" s="37"/>
      <c r="D774" s="38"/>
      <c r="E774" s="38"/>
      <c r="F774" s="39"/>
      <c r="K774" s="5"/>
      <c r="L774" s="5"/>
      <c r="M774" s="5"/>
      <c r="N774" s="5"/>
      <c r="O774" s="5"/>
      <c r="P774" s="5"/>
    </row>
    <row r="775" spans="2:16" s="8" customFormat="1" ht="16.5" hidden="1">
      <c r="B775" s="37"/>
      <c r="C775" s="37"/>
      <c r="D775" s="38"/>
      <c r="E775" s="38"/>
      <c r="F775" s="39"/>
      <c r="K775" s="5"/>
      <c r="L775" s="5"/>
      <c r="M775" s="5"/>
      <c r="N775" s="5"/>
      <c r="O775" s="5"/>
      <c r="P775" s="5"/>
    </row>
    <row r="776" spans="2:16" s="8" customFormat="1" ht="16.5" hidden="1">
      <c r="B776" s="37"/>
      <c r="C776" s="37"/>
      <c r="D776" s="38"/>
      <c r="E776" s="38"/>
      <c r="F776" s="39"/>
      <c r="K776" s="5"/>
      <c r="L776" s="5"/>
      <c r="M776" s="5"/>
      <c r="N776" s="5"/>
      <c r="O776" s="5"/>
      <c r="P776" s="5"/>
    </row>
    <row r="777" spans="2:16" s="8" customFormat="1" ht="16.5" hidden="1">
      <c r="B777" s="37"/>
      <c r="C777" s="37"/>
      <c r="D777" s="38"/>
      <c r="E777" s="38"/>
      <c r="F777" s="39"/>
      <c r="K777" s="5"/>
      <c r="L777" s="5"/>
      <c r="M777" s="5"/>
      <c r="N777" s="5"/>
      <c r="O777" s="5"/>
      <c r="P777" s="5"/>
    </row>
    <row r="778" spans="2:16" s="8" customFormat="1" ht="16.5" hidden="1">
      <c r="B778" s="37"/>
      <c r="C778" s="37"/>
      <c r="D778" s="38"/>
      <c r="E778" s="38"/>
      <c r="F778" s="39"/>
      <c r="K778" s="5"/>
      <c r="L778" s="5"/>
      <c r="M778" s="5"/>
      <c r="N778" s="5"/>
      <c r="O778" s="5"/>
      <c r="P778" s="5"/>
    </row>
    <row r="779" spans="2:16" s="8" customFormat="1" ht="16.5" hidden="1">
      <c r="B779" s="37"/>
      <c r="C779" s="37"/>
      <c r="D779" s="38"/>
      <c r="E779" s="38"/>
      <c r="F779" s="39"/>
      <c r="K779" s="5"/>
      <c r="L779" s="5"/>
      <c r="M779" s="5"/>
      <c r="N779" s="5"/>
      <c r="O779" s="5"/>
      <c r="P779" s="5"/>
    </row>
    <row r="780" spans="2:16" s="8" customFormat="1" ht="16.5" hidden="1">
      <c r="B780" s="37"/>
      <c r="C780" s="37"/>
      <c r="D780" s="38"/>
      <c r="E780" s="38"/>
      <c r="F780" s="39"/>
      <c r="K780" s="5"/>
      <c r="L780" s="5"/>
      <c r="M780" s="5"/>
      <c r="N780" s="5"/>
      <c r="O780" s="5"/>
      <c r="P780" s="5"/>
    </row>
    <row r="781" spans="2:16" s="8" customFormat="1" ht="16.5" hidden="1">
      <c r="B781" s="37"/>
      <c r="C781" s="37"/>
      <c r="D781" s="38"/>
      <c r="E781" s="38"/>
      <c r="F781" s="39"/>
      <c r="K781" s="5"/>
      <c r="L781" s="5"/>
      <c r="M781" s="5"/>
      <c r="N781" s="5"/>
      <c r="O781" s="5"/>
      <c r="P781" s="5"/>
    </row>
    <row r="782" spans="2:16" s="8" customFormat="1" ht="16.5" hidden="1">
      <c r="B782" s="37"/>
      <c r="C782" s="37"/>
      <c r="D782" s="38"/>
      <c r="E782" s="38"/>
      <c r="F782" s="39"/>
      <c r="K782" s="5"/>
      <c r="L782" s="5"/>
      <c r="M782" s="5"/>
      <c r="N782" s="5"/>
      <c r="O782" s="5"/>
      <c r="P782" s="5"/>
    </row>
    <row r="783" spans="2:16" s="8" customFormat="1" ht="16.5" hidden="1">
      <c r="B783" s="37"/>
      <c r="C783" s="37"/>
      <c r="D783" s="38"/>
      <c r="E783" s="38"/>
      <c r="F783" s="39"/>
      <c r="K783" s="5"/>
      <c r="L783" s="5"/>
      <c r="M783" s="5"/>
      <c r="N783" s="5"/>
      <c r="O783" s="5"/>
      <c r="P783" s="5"/>
    </row>
    <row r="784" spans="2:16" s="8" customFormat="1" ht="16.5" hidden="1">
      <c r="B784" s="37"/>
      <c r="C784" s="37"/>
      <c r="D784" s="38"/>
      <c r="E784" s="38"/>
      <c r="F784" s="39"/>
      <c r="K784" s="5"/>
      <c r="L784" s="5"/>
      <c r="M784" s="5"/>
      <c r="N784" s="5"/>
      <c r="O784" s="5"/>
      <c r="P784" s="5"/>
    </row>
    <row r="785" spans="2:16" s="8" customFormat="1" ht="16.5" hidden="1">
      <c r="B785" s="37"/>
      <c r="C785" s="37"/>
      <c r="D785" s="38"/>
      <c r="E785" s="38"/>
      <c r="F785" s="39"/>
      <c r="K785" s="5"/>
      <c r="L785" s="5"/>
      <c r="M785" s="5"/>
      <c r="N785" s="5"/>
      <c r="O785" s="5"/>
      <c r="P785" s="5"/>
    </row>
    <row r="786" spans="2:16" s="8" customFormat="1" ht="16.5" hidden="1">
      <c r="B786" s="37"/>
      <c r="C786" s="37"/>
      <c r="D786" s="38"/>
      <c r="E786" s="38"/>
      <c r="F786" s="39"/>
      <c r="K786" s="5"/>
      <c r="L786" s="5"/>
      <c r="M786" s="5"/>
      <c r="N786" s="5"/>
      <c r="O786" s="5"/>
      <c r="P786" s="5"/>
    </row>
    <row r="787" spans="2:16" s="8" customFormat="1" ht="16.5" hidden="1">
      <c r="B787" s="37"/>
      <c r="C787" s="37"/>
      <c r="D787" s="38"/>
      <c r="E787" s="38"/>
      <c r="F787" s="39"/>
      <c r="K787" s="5"/>
      <c r="L787" s="5"/>
      <c r="M787" s="5"/>
      <c r="N787" s="5"/>
      <c r="O787" s="5"/>
      <c r="P787" s="5"/>
    </row>
    <row r="788" spans="2:16" s="8" customFormat="1" ht="16.5" hidden="1">
      <c r="B788" s="37"/>
      <c r="C788" s="37"/>
      <c r="D788" s="38"/>
      <c r="E788" s="38"/>
      <c r="F788" s="39"/>
      <c r="K788" s="5"/>
      <c r="L788" s="5"/>
      <c r="M788" s="5"/>
      <c r="N788" s="5"/>
      <c r="O788" s="5"/>
      <c r="P788" s="5"/>
    </row>
    <row r="789" spans="2:16" s="8" customFormat="1" ht="16.5" hidden="1">
      <c r="B789" s="37"/>
      <c r="C789" s="37"/>
      <c r="D789" s="38"/>
      <c r="E789" s="38"/>
      <c r="F789" s="39"/>
      <c r="K789" s="5"/>
      <c r="L789" s="5"/>
      <c r="M789" s="5"/>
      <c r="N789" s="5"/>
      <c r="O789" s="5"/>
      <c r="P789" s="5"/>
    </row>
    <row r="790" spans="2:16" s="8" customFormat="1" ht="16.5" hidden="1">
      <c r="B790" s="37"/>
      <c r="C790" s="37"/>
      <c r="D790" s="38"/>
      <c r="E790" s="38"/>
      <c r="F790" s="39"/>
      <c r="K790" s="5"/>
      <c r="L790" s="5"/>
      <c r="M790" s="5"/>
      <c r="N790" s="5"/>
      <c r="O790" s="5"/>
      <c r="P790" s="5"/>
    </row>
    <row r="791" spans="2:16" s="8" customFormat="1" ht="16.5" hidden="1">
      <c r="B791" s="37"/>
      <c r="C791" s="37"/>
      <c r="D791" s="38"/>
      <c r="E791" s="38"/>
      <c r="F791" s="39"/>
      <c r="K791" s="5"/>
      <c r="L791" s="5"/>
      <c r="M791" s="5"/>
      <c r="N791" s="5"/>
      <c r="O791" s="5"/>
      <c r="P791" s="5"/>
    </row>
    <row r="792" spans="2:16" s="8" customFormat="1" ht="16.5" hidden="1">
      <c r="B792" s="37"/>
      <c r="C792" s="37"/>
      <c r="D792" s="38"/>
      <c r="E792" s="38"/>
      <c r="F792" s="39"/>
      <c r="K792" s="5"/>
      <c r="L792" s="5"/>
      <c r="M792" s="5"/>
      <c r="N792" s="5"/>
      <c r="O792" s="5"/>
      <c r="P792" s="5"/>
    </row>
    <row r="793" spans="2:16" s="8" customFormat="1" ht="16.5" hidden="1">
      <c r="B793" s="37"/>
      <c r="C793" s="37"/>
      <c r="D793" s="38"/>
      <c r="E793" s="38"/>
      <c r="F793" s="39"/>
      <c r="K793" s="5"/>
      <c r="L793" s="5"/>
      <c r="M793" s="5"/>
      <c r="N793" s="5"/>
      <c r="O793" s="5"/>
      <c r="P793" s="5"/>
    </row>
    <row r="794" spans="2:16" s="8" customFormat="1" ht="16.5" hidden="1">
      <c r="B794" s="37"/>
      <c r="C794" s="37"/>
      <c r="D794" s="38"/>
      <c r="E794" s="38"/>
      <c r="F794" s="39"/>
      <c r="K794" s="5"/>
      <c r="L794" s="5"/>
      <c r="M794" s="5"/>
      <c r="N794" s="5"/>
      <c r="O794" s="5"/>
      <c r="P794" s="5"/>
    </row>
    <row r="795" spans="2:16" s="8" customFormat="1" ht="16.5" hidden="1">
      <c r="B795" s="37"/>
      <c r="C795" s="37"/>
      <c r="D795" s="38"/>
      <c r="E795" s="38"/>
      <c r="F795" s="39"/>
      <c r="K795" s="5"/>
      <c r="L795" s="5"/>
      <c r="M795" s="5"/>
      <c r="N795" s="5"/>
      <c r="O795" s="5"/>
      <c r="P795" s="5"/>
    </row>
    <row r="796" spans="2:16" s="8" customFormat="1" ht="16.5" hidden="1">
      <c r="B796" s="37"/>
      <c r="C796" s="37"/>
      <c r="D796" s="38"/>
      <c r="E796" s="38"/>
      <c r="F796" s="39"/>
      <c r="K796" s="5"/>
      <c r="L796" s="5"/>
      <c r="M796" s="5"/>
      <c r="N796" s="5"/>
      <c r="O796" s="5"/>
      <c r="P796" s="5"/>
    </row>
    <row r="797" spans="2:16" s="8" customFormat="1" ht="16.5" hidden="1">
      <c r="B797" s="37"/>
      <c r="C797" s="37"/>
      <c r="D797" s="38"/>
      <c r="E797" s="38"/>
      <c r="F797" s="39"/>
      <c r="K797" s="5"/>
      <c r="L797" s="5"/>
      <c r="M797" s="5"/>
      <c r="N797" s="5"/>
      <c r="O797" s="5"/>
      <c r="P797" s="5"/>
    </row>
    <row r="798" spans="2:16" s="8" customFormat="1" ht="16.5" hidden="1">
      <c r="B798" s="37"/>
      <c r="C798" s="37"/>
      <c r="D798" s="38"/>
      <c r="E798" s="38"/>
      <c r="F798" s="39"/>
      <c r="K798" s="5"/>
      <c r="L798" s="5"/>
      <c r="M798" s="5"/>
      <c r="N798" s="5"/>
      <c r="O798" s="5"/>
      <c r="P798" s="5"/>
    </row>
    <row r="799" spans="2:16" s="8" customFormat="1" ht="16.5" hidden="1">
      <c r="B799" s="37"/>
      <c r="C799" s="37"/>
      <c r="D799" s="38"/>
      <c r="E799" s="38"/>
      <c r="F799" s="39"/>
      <c r="K799" s="5"/>
      <c r="L799" s="5"/>
      <c r="M799" s="5"/>
      <c r="N799" s="5"/>
      <c r="O799" s="5"/>
      <c r="P799" s="5"/>
    </row>
    <row r="800" spans="2:16" s="8" customFormat="1" ht="16.5" hidden="1">
      <c r="B800" s="37"/>
      <c r="C800" s="37"/>
      <c r="D800" s="38"/>
      <c r="E800" s="38"/>
      <c r="F800" s="39"/>
      <c r="K800" s="5"/>
      <c r="L800" s="5"/>
      <c r="M800" s="5"/>
      <c r="N800" s="5"/>
      <c r="O800" s="5"/>
      <c r="P800" s="5"/>
    </row>
    <row r="801" spans="2:16" s="8" customFormat="1" ht="16.5" hidden="1">
      <c r="B801" s="37"/>
      <c r="C801" s="37"/>
      <c r="D801" s="38"/>
      <c r="E801" s="38"/>
      <c r="F801" s="39"/>
      <c r="K801" s="5"/>
      <c r="L801" s="5"/>
      <c r="M801" s="5"/>
      <c r="N801" s="5"/>
      <c r="O801" s="5"/>
      <c r="P801" s="5"/>
    </row>
    <row r="802" spans="2:16" s="8" customFormat="1" ht="16.5" hidden="1">
      <c r="B802" s="37"/>
      <c r="C802" s="37"/>
      <c r="D802" s="38"/>
      <c r="E802" s="38"/>
      <c r="F802" s="39"/>
      <c r="K802" s="5"/>
      <c r="L802" s="5"/>
      <c r="M802" s="5"/>
      <c r="N802" s="5"/>
      <c r="O802" s="5"/>
      <c r="P802" s="5"/>
    </row>
    <row r="803" spans="2:16" s="8" customFormat="1" ht="16.5" hidden="1">
      <c r="B803" s="37"/>
      <c r="C803" s="37"/>
      <c r="D803" s="38"/>
      <c r="E803" s="38"/>
      <c r="F803" s="39"/>
      <c r="K803" s="5"/>
      <c r="L803" s="5"/>
      <c r="M803" s="5"/>
      <c r="N803" s="5"/>
      <c r="O803" s="5"/>
      <c r="P803" s="5"/>
    </row>
    <row r="804" spans="2:16" s="8" customFormat="1" ht="16.5" hidden="1">
      <c r="B804" s="37"/>
      <c r="C804" s="37"/>
      <c r="D804" s="38"/>
      <c r="E804" s="38"/>
      <c r="F804" s="39"/>
      <c r="K804" s="5"/>
      <c r="L804" s="5"/>
      <c r="M804" s="5"/>
      <c r="N804" s="5"/>
      <c r="O804" s="5"/>
      <c r="P804" s="5"/>
    </row>
    <row r="805" spans="2:16" s="8" customFormat="1" ht="16.5" hidden="1">
      <c r="B805" s="37"/>
      <c r="C805" s="37"/>
      <c r="D805" s="38"/>
      <c r="E805" s="38"/>
      <c r="F805" s="39"/>
      <c r="K805" s="5"/>
      <c r="L805" s="5"/>
      <c r="M805" s="5"/>
      <c r="N805" s="5"/>
      <c r="O805" s="5"/>
      <c r="P805" s="5"/>
    </row>
    <row r="806" spans="2:16" s="8" customFormat="1" ht="16.5" hidden="1">
      <c r="B806" s="37"/>
      <c r="C806" s="37"/>
      <c r="D806" s="38"/>
      <c r="E806" s="38"/>
      <c r="F806" s="39"/>
      <c r="K806" s="5"/>
      <c r="L806" s="5"/>
      <c r="M806" s="5"/>
      <c r="N806" s="5"/>
      <c r="O806" s="5"/>
      <c r="P806" s="5"/>
    </row>
    <row r="807" spans="2:16" s="8" customFormat="1" ht="16.5" hidden="1">
      <c r="B807" s="37"/>
      <c r="C807" s="37"/>
      <c r="D807" s="38"/>
      <c r="E807" s="38"/>
      <c r="F807" s="39"/>
      <c r="K807" s="5"/>
      <c r="L807" s="5"/>
      <c r="M807" s="5"/>
      <c r="N807" s="5"/>
      <c r="O807" s="5"/>
      <c r="P807" s="5"/>
    </row>
    <row r="808" spans="2:16" s="8" customFormat="1" ht="16.5" hidden="1">
      <c r="B808" s="37"/>
      <c r="C808" s="37"/>
      <c r="D808" s="38"/>
      <c r="E808" s="38"/>
      <c r="F808" s="39"/>
      <c r="K808" s="5"/>
      <c r="L808" s="5"/>
      <c r="M808" s="5"/>
      <c r="N808" s="5"/>
      <c r="O808" s="5"/>
      <c r="P808" s="5"/>
    </row>
    <row r="809" spans="2:16" s="8" customFormat="1" ht="16.5" hidden="1">
      <c r="B809" s="37"/>
      <c r="C809" s="37"/>
      <c r="D809" s="38"/>
      <c r="E809" s="38"/>
      <c r="F809" s="39"/>
      <c r="K809" s="5"/>
      <c r="L809" s="5"/>
      <c r="M809" s="5"/>
      <c r="N809" s="5"/>
      <c r="O809" s="5"/>
      <c r="P809" s="5"/>
    </row>
    <row r="810" spans="2:16" s="8" customFormat="1" ht="16.5" hidden="1">
      <c r="B810" s="37"/>
      <c r="C810" s="37"/>
      <c r="D810" s="38"/>
      <c r="E810" s="38"/>
      <c r="F810" s="39"/>
      <c r="K810" s="5"/>
      <c r="L810" s="5"/>
      <c r="M810" s="5"/>
      <c r="N810" s="5"/>
      <c r="O810" s="5"/>
      <c r="P810" s="5"/>
    </row>
    <row r="811" spans="2:16" s="8" customFormat="1" ht="16.5" hidden="1">
      <c r="B811" s="37"/>
      <c r="C811" s="37"/>
      <c r="D811" s="38"/>
      <c r="E811" s="38"/>
      <c r="F811" s="39"/>
      <c r="K811" s="5"/>
      <c r="L811" s="5"/>
      <c r="M811" s="5"/>
      <c r="N811" s="5"/>
      <c r="O811" s="5"/>
      <c r="P811" s="5"/>
    </row>
    <row r="812" spans="2:16" s="8" customFormat="1" ht="16.5" hidden="1">
      <c r="B812" s="37"/>
      <c r="C812" s="37"/>
      <c r="D812" s="38"/>
      <c r="E812" s="38"/>
      <c r="F812" s="39"/>
      <c r="K812" s="5"/>
      <c r="L812" s="5"/>
      <c r="M812" s="5"/>
      <c r="N812" s="5"/>
      <c r="O812" s="5"/>
      <c r="P812" s="5"/>
    </row>
    <row r="813" spans="2:16" s="8" customFormat="1" ht="16.5" hidden="1">
      <c r="B813" s="37"/>
      <c r="C813" s="37"/>
      <c r="D813" s="38"/>
      <c r="E813" s="38"/>
      <c r="F813" s="39"/>
      <c r="K813" s="5"/>
      <c r="L813" s="5"/>
      <c r="M813" s="5"/>
      <c r="N813" s="5"/>
      <c r="O813" s="5"/>
      <c r="P813" s="5"/>
    </row>
    <row r="814" spans="2:16" s="8" customFormat="1" ht="16.5" hidden="1">
      <c r="B814" s="37"/>
      <c r="C814" s="37"/>
      <c r="D814" s="38"/>
      <c r="E814" s="38"/>
      <c r="F814" s="39"/>
      <c r="K814" s="5"/>
      <c r="L814" s="5"/>
      <c r="M814" s="5"/>
      <c r="N814" s="5"/>
      <c r="O814" s="5"/>
      <c r="P814" s="5"/>
    </row>
    <row r="815" spans="2:16" s="8" customFormat="1" ht="16.5" hidden="1">
      <c r="B815" s="37"/>
      <c r="C815" s="37"/>
      <c r="D815" s="38"/>
      <c r="E815" s="38"/>
      <c r="F815" s="39"/>
      <c r="K815" s="5"/>
      <c r="L815" s="5"/>
      <c r="M815" s="5"/>
      <c r="N815" s="5"/>
      <c r="O815" s="5"/>
      <c r="P815" s="5"/>
    </row>
    <row r="816" spans="2:16" s="8" customFormat="1" ht="16.5" hidden="1">
      <c r="B816" s="37"/>
      <c r="C816" s="37"/>
      <c r="D816" s="38"/>
      <c r="E816" s="38"/>
      <c r="F816" s="39"/>
      <c r="K816" s="5"/>
      <c r="L816" s="5"/>
      <c r="M816" s="5"/>
      <c r="N816" s="5"/>
      <c r="O816" s="5"/>
      <c r="P816" s="5"/>
    </row>
    <row r="817" spans="2:16" s="8" customFormat="1" ht="16.5" hidden="1">
      <c r="B817" s="37"/>
      <c r="C817" s="37"/>
      <c r="D817" s="38"/>
      <c r="E817" s="38"/>
      <c r="F817" s="39"/>
      <c r="K817" s="5"/>
      <c r="L817" s="5"/>
      <c r="M817" s="5"/>
      <c r="N817" s="5"/>
      <c r="O817" s="5"/>
      <c r="P817" s="5"/>
    </row>
    <row r="818" spans="2:16" s="8" customFormat="1" ht="16.5" hidden="1">
      <c r="B818" s="37"/>
      <c r="C818" s="37"/>
      <c r="D818" s="38"/>
      <c r="E818" s="38"/>
      <c r="F818" s="39"/>
      <c r="K818" s="5"/>
      <c r="L818" s="5"/>
      <c r="M818" s="5"/>
      <c r="N818" s="5"/>
      <c r="O818" s="5"/>
      <c r="P818" s="5"/>
    </row>
    <row r="819" spans="2:16" s="8" customFormat="1" ht="16.5" hidden="1">
      <c r="B819" s="37"/>
      <c r="C819" s="37"/>
      <c r="D819" s="38"/>
      <c r="E819" s="38"/>
      <c r="F819" s="39"/>
      <c r="K819" s="5"/>
      <c r="L819" s="5"/>
      <c r="M819" s="5"/>
      <c r="N819" s="5"/>
      <c r="O819" s="5"/>
      <c r="P819" s="5"/>
    </row>
    <row r="820" spans="2:16" s="8" customFormat="1" ht="16.5" hidden="1">
      <c r="B820" s="37"/>
      <c r="C820" s="37"/>
      <c r="D820" s="38"/>
      <c r="E820" s="38"/>
      <c r="F820" s="39"/>
      <c r="K820" s="5"/>
      <c r="L820" s="5"/>
      <c r="M820" s="5"/>
      <c r="N820" s="5"/>
      <c r="O820" s="5"/>
      <c r="P820" s="5"/>
    </row>
    <row r="821" spans="2:16" s="8" customFormat="1" ht="16.5" hidden="1">
      <c r="B821" s="37"/>
      <c r="C821" s="37"/>
      <c r="D821" s="38"/>
      <c r="E821" s="38"/>
      <c r="F821" s="39"/>
      <c r="K821" s="5"/>
      <c r="L821" s="5"/>
      <c r="M821" s="5"/>
      <c r="N821" s="5"/>
      <c r="O821" s="5"/>
      <c r="P821" s="5"/>
    </row>
    <row r="822" spans="2:16" s="8" customFormat="1" ht="16.5" hidden="1">
      <c r="B822" s="37"/>
      <c r="C822" s="37"/>
      <c r="D822" s="38"/>
      <c r="E822" s="38"/>
      <c r="F822" s="39"/>
      <c r="K822" s="5"/>
      <c r="L822" s="5"/>
      <c r="M822" s="5"/>
      <c r="N822" s="5"/>
      <c r="O822" s="5"/>
      <c r="P822" s="5"/>
    </row>
    <row r="823" spans="2:16" s="8" customFormat="1" ht="16.5" hidden="1">
      <c r="B823" s="37"/>
      <c r="C823" s="37"/>
      <c r="D823" s="38"/>
      <c r="E823" s="38"/>
      <c r="F823" s="39"/>
      <c r="K823" s="5"/>
      <c r="L823" s="5"/>
      <c r="M823" s="5"/>
      <c r="N823" s="5"/>
      <c r="O823" s="5"/>
      <c r="P823" s="5"/>
    </row>
    <row r="824" spans="2:16" s="8" customFormat="1" ht="16.5" hidden="1">
      <c r="B824" s="37"/>
      <c r="C824" s="37"/>
      <c r="D824" s="38"/>
      <c r="E824" s="38"/>
      <c r="F824" s="39"/>
      <c r="K824" s="5"/>
      <c r="L824" s="5"/>
      <c r="M824" s="5"/>
      <c r="N824" s="5"/>
      <c r="O824" s="5"/>
      <c r="P824" s="5"/>
    </row>
    <row r="825" spans="2:16" s="8" customFormat="1" ht="16.5" hidden="1">
      <c r="B825" s="37"/>
      <c r="C825" s="37"/>
      <c r="D825" s="38"/>
      <c r="E825" s="38"/>
      <c r="F825" s="39"/>
      <c r="K825" s="5"/>
      <c r="L825" s="5"/>
      <c r="M825" s="5"/>
      <c r="N825" s="5"/>
      <c r="O825" s="5"/>
      <c r="P825" s="5"/>
    </row>
    <row r="826" spans="2:16" s="8" customFormat="1" ht="16.5" hidden="1">
      <c r="B826" s="37"/>
      <c r="C826" s="37"/>
      <c r="D826" s="38"/>
      <c r="E826" s="38"/>
      <c r="F826" s="39"/>
      <c r="K826" s="5"/>
      <c r="L826" s="5"/>
      <c r="M826" s="5"/>
      <c r="N826" s="5"/>
      <c r="O826" s="5"/>
      <c r="P826" s="5"/>
    </row>
    <row r="827" spans="2:16" s="8" customFormat="1" ht="16.5" hidden="1">
      <c r="B827" s="37"/>
      <c r="C827" s="37"/>
      <c r="D827" s="38"/>
      <c r="E827" s="38"/>
      <c r="F827" s="39"/>
      <c r="K827" s="5"/>
      <c r="L827" s="5"/>
      <c r="M827" s="5"/>
      <c r="N827" s="5"/>
      <c r="O827" s="5"/>
      <c r="P827" s="5"/>
    </row>
    <row r="828" spans="2:16" s="8" customFormat="1" ht="16.5" hidden="1">
      <c r="B828" s="37"/>
      <c r="C828" s="37"/>
      <c r="D828" s="38"/>
      <c r="E828" s="38"/>
      <c r="F828" s="39"/>
      <c r="K828" s="5"/>
      <c r="L828" s="5"/>
      <c r="M828" s="5"/>
      <c r="N828" s="5"/>
      <c r="O828" s="5"/>
      <c r="P828" s="5"/>
    </row>
    <row r="829" spans="2:16" s="8" customFormat="1" ht="16.5" hidden="1">
      <c r="B829" s="37"/>
      <c r="C829" s="37"/>
      <c r="D829" s="38"/>
      <c r="E829" s="38"/>
      <c r="F829" s="39"/>
      <c r="K829" s="5"/>
      <c r="L829" s="5"/>
      <c r="M829" s="5"/>
      <c r="N829" s="5"/>
      <c r="O829" s="5"/>
      <c r="P829" s="5"/>
    </row>
    <row r="830" spans="2:16" s="8" customFormat="1" ht="16.5" hidden="1">
      <c r="B830" s="37"/>
      <c r="C830" s="37"/>
      <c r="D830" s="38"/>
      <c r="E830" s="38"/>
      <c r="F830" s="39"/>
      <c r="K830" s="5"/>
      <c r="L830" s="5"/>
      <c r="M830" s="5"/>
      <c r="N830" s="5"/>
      <c r="O830" s="5"/>
      <c r="P830" s="5"/>
    </row>
    <row r="831" spans="2:16" s="8" customFormat="1" ht="16.5" hidden="1">
      <c r="B831" s="37"/>
      <c r="C831" s="37"/>
      <c r="D831" s="38"/>
      <c r="E831" s="38"/>
      <c r="F831" s="39"/>
      <c r="K831" s="5"/>
      <c r="L831" s="5"/>
      <c r="M831" s="5"/>
      <c r="N831" s="5"/>
      <c r="O831" s="5"/>
      <c r="P831" s="5"/>
    </row>
    <row r="832" spans="2:16" s="8" customFormat="1" ht="16.5" hidden="1">
      <c r="B832" s="37"/>
      <c r="C832" s="37"/>
      <c r="D832" s="38"/>
      <c r="E832" s="38"/>
      <c r="F832" s="39"/>
      <c r="K832" s="5"/>
      <c r="L832" s="5"/>
      <c r="M832" s="5"/>
      <c r="N832" s="5"/>
      <c r="O832" s="5"/>
      <c r="P832" s="5"/>
    </row>
    <row r="833" spans="2:16" s="8" customFormat="1" ht="16.5" hidden="1">
      <c r="B833" s="37"/>
      <c r="C833" s="37"/>
      <c r="D833" s="38"/>
      <c r="E833" s="38"/>
      <c r="F833" s="39"/>
      <c r="K833" s="5"/>
      <c r="L833" s="5"/>
      <c r="M833" s="5"/>
      <c r="N833" s="5"/>
      <c r="O833" s="5"/>
      <c r="P833" s="5"/>
    </row>
    <row r="834" spans="2:16" s="8" customFormat="1" ht="16.5" hidden="1">
      <c r="B834" s="37"/>
      <c r="C834" s="37"/>
      <c r="D834" s="38"/>
      <c r="E834" s="38"/>
      <c r="F834" s="39"/>
      <c r="K834" s="5"/>
      <c r="L834" s="5"/>
      <c r="M834" s="5"/>
      <c r="N834" s="5"/>
      <c r="O834" s="5"/>
      <c r="P834" s="5"/>
    </row>
    <row r="835" spans="2:16" s="8" customFormat="1" ht="16.5" hidden="1">
      <c r="B835" s="37"/>
      <c r="C835" s="37"/>
      <c r="D835" s="38"/>
      <c r="E835" s="38"/>
      <c r="F835" s="39"/>
      <c r="K835" s="5"/>
      <c r="L835" s="5"/>
      <c r="M835" s="5"/>
      <c r="N835" s="5"/>
      <c r="O835" s="5"/>
      <c r="P835" s="5"/>
    </row>
    <row r="836" spans="2:16" s="8" customFormat="1" ht="16.5" hidden="1">
      <c r="B836" s="37"/>
      <c r="C836" s="37"/>
      <c r="D836" s="38"/>
      <c r="E836" s="38"/>
      <c r="F836" s="39"/>
      <c r="K836" s="5"/>
      <c r="L836" s="5"/>
      <c r="M836" s="5"/>
      <c r="N836" s="5"/>
      <c r="O836" s="5"/>
      <c r="P836" s="5"/>
    </row>
    <row r="837" spans="2:16" s="8" customFormat="1" ht="16.5" hidden="1">
      <c r="B837" s="37"/>
      <c r="C837" s="37"/>
      <c r="D837" s="38"/>
      <c r="E837" s="38"/>
      <c r="F837" s="39"/>
      <c r="K837" s="5"/>
      <c r="L837" s="5"/>
      <c r="M837" s="5"/>
      <c r="N837" s="5"/>
      <c r="O837" s="5"/>
      <c r="P837" s="5"/>
    </row>
    <row r="838" spans="2:16" s="8" customFormat="1" ht="16.5" hidden="1">
      <c r="B838" s="37"/>
      <c r="C838" s="37"/>
      <c r="D838" s="38"/>
      <c r="E838" s="38"/>
      <c r="F838" s="39"/>
      <c r="K838" s="5"/>
      <c r="L838" s="5"/>
      <c r="M838" s="5"/>
      <c r="N838" s="5"/>
      <c r="O838" s="5"/>
      <c r="P838" s="5"/>
    </row>
    <row r="839" spans="2:16" s="8" customFormat="1" ht="16.5" hidden="1">
      <c r="B839" s="37"/>
      <c r="C839" s="37"/>
      <c r="D839" s="38"/>
      <c r="E839" s="38"/>
      <c r="F839" s="39"/>
      <c r="K839" s="5"/>
      <c r="L839" s="5"/>
      <c r="M839" s="5"/>
      <c r="N839" s="5"/>
      <c r="O839" s="5"/>
      <c r="P839" s="5"/>
    </row>
    <row r="840" spans="2:16" s="8" customFormat="1" ht="16.5" hidden="1">
      <c r="B840" s="37"/>
      <c r="C840" s="37"/>
      <c r="D840" s="38"/>
      <c r="E840" s="38"/>
      <c r="F840" s="39"/>
      <c r="K840" s="5"/>
      <c r="L840" s="5"/>
      <c r="M840" s="5"/>
      <c r="N840" s="5"/>
      <c r="O840" s="5"/>
      <c r="P840" s="5"/>
    </row>
    <row r="841" spans="2:16" s="8" customFormat="1" ht="16.5" hidden="1">
      <c r="B841" s="37"/>
      <c r="C841" s="37"/>
      <c r="D841" s="38"/>
      <c r="E841" s="38"/>
      <c r="F841" s="39"/>
      <c r="K841" s="5"/>
      <c r="L841" s="5"/>
      <c r="M841" s="5"/>
      <c r="N841" s="5"/>
      <c r="O841" s="5"/>
      <c r="P841" s="5"/>
    </row>
    <row r="842" spans="2:16" s="8" customFormat="1" ht="16.5" hidden="1">
      <c r="B842" s="37"/>
      <c r="C842" s="37"/>
      <c r="D842" s="38"/>
      <c r="E842" s="38"/>
      <c r="F842" s="39"/>
      <c r="K842" s="5"/>
      <c r="L842" s="5"/>
      <c r="M842" s="5"/>
      <c r="N842" s="5"/>
      <c r="O842" s="5"/>
      <c r="P842" s="5"/>
    </row>
    <row r="843" spans="2:16" s="8" customFormat="1" ht="16.5" hidden="1">
      <c r="B843" s="37"/>
      <c r="C843" s="37"/>
      <c r="D843" s="38"/>
      <c r="E843" s="38"/>
      <c r="F843" s="39"/>
      <c r="K843" s="5"/>
      <c r="L843" s="5"/>
      <c r="M843" s="5"/>
      <c r="N843" s="5"/>
      <c r="O843" s="5"/>
      <c r="P843" s="5"/>
    </row>
    <row r="844" spans="2:16" s="8" customFormat="1" ht="16.5" hidden="1">
      <c r="B844" s="37"/>
      <c r="C844" s="37"/>
      <c r="D844" s="38"/>
      <c r="E844" s="38"/>
      <c r="F844" s="39"/>
      <c r="K844" s="5"/>
      <c r="L844" s="5"/>
      <c r="M844" s="5"/>
      <c r="N844" s="5"/>
      <c r="O844" s="5"/>
      <c r="P844" s="5"/>
    </row>
    <row r="845" spans="2:16" s="8" customFormat="1" ht="16.5" hidden="1">
      <c r="B845" s="37"/>
      <c r="C845" s="37"/>
      <c r="D845" s="38"/>
      <c r="E845" s="38"/>
      <c r="F845" s="39"/>
      <c r="K845" s="5"/>
      <c r="L845" s="5"/>
      <c r="M845" s="5"/>
      <c r="N845" s="5"/>
      <c r="O845" s="5"/>
      <c r="P845" s="5"/>
    </row>
    <row r="846" spans="2:16" s="8" customFormat="1" ht="16.5" hidden="1">
      <c r="B846" s="37"/>
      <c r="C846" s="37"/>
      <c r="D846" s="38"/>
      <c r="E846" s="38"/>
      <c r="F846" s="39"/>
      <c r="K846" s="5"/>
      <c r="L846" s="5"/>
      <c r="M846" s="5"/>
      <c r="N846" s="5"/>
      <c r="O846" s="5"/>
      <c r="P846" s="5"/>
    </row>
    <row r="847" spans="2:16" s="8" customFormat="1" ht="16.5" hidden="1">
      <c r="B847" s="37"/>
      <c r="C847" s="37"/>
      <c r="D847" s="38"/>
      <c r="E847" s="38"/>
      <c r="F847" s="39"/>
      <c r="K847" s="5"/>
      <c r="L847" s="5"/>
      <c r="M847" s="5"/>
      <c r="N847" s="5"/>
      <c r="O847" s="5"/>
      <c r="P847" s="5"/>
    </row>
    <row r="848" spans="2:16" s="8" customFormat="1" ht="16.5" hidden="1">
      <c r="B848" s="37"/>
      <c r="C848" s="37"/>
      <c r="D848" s="38"/>
      <c r="E848" s="38"/>
      <c r="F848" s="39"/>
      <c r="K848" s="5"/>
      <c r="L848" s="5"/>
      <c r="M848" s="5"/>
      <c r="N848" s="5"/>
      <c r="O848" s="5"/>
      <c r="P848" s="5"/>
    </row>
    <row r="849" spans="2:16" s="8" customFormat="1" ht="16.5" hidden="1">
      <c r="B849" s="37"/>
      <c r="C849" s="37"/>
      <c r="D849" s="38"/>
      <c r="E849" s="38"/>
      <c r="F849" s="39"/>
      <c r="K849" s="5"/>
      <c r="L849" s="5"/>
      <c r="M849" s="5"/>
      <c r="N849" s="5"/>
      <c r="O849" s="5"/>
      <c r="P849" s="5"/>
    </row>
    <row r="850" spans="2:16" s="8" customFormat="1" ht="16.5" hidden="1">
      <c r="B850" s="37"/>
      <c r="C850" s="37"/>
      <c r="D850" s="38"/>
      <c r="E850" s="38"/>
      <c r="F850" s="39"/>
      <c r="K850" s="5"/>
      <c r="L850" s="5"/>
      <c r="M850" s="5"/>
      <c r="N850" s="5"/>
      <c r="O850" s="5"/>
      <c r="P850" s="5"/>
    </row>
    <row r="851" spans="2:16" s="8" customFormat="1" ht="16.5" hidden="1">
      <c r="B851" s="37"/>
      <c r="C851" s="37"/>
      <c r="D851" s="38"/>
      <c r="E851" s="38"/>
      <c r="F851" s="39"/>
      <c r="K851" s="5"/>
      <c r="L851" s="5"/>
      <c r="M851" s="5"/>
      <c r="N851" s="5"/>
      <c r="O851" s="5"/>
      <c r="P851" s="5"/>
    </row>
    <row r="852" spans="2:16" s="8" customFormat="1" ht="16.5" hidden="1">
      <c r="B852" s="37"/>
      <c r="C852" s="37"/>
      <c r="D852" s="38"/>
      <c r="E852" s="38"/>
      <c r="F852" s="39"/>
      <c r="K852" s="5"/>
      <c r="L852" s="5"/>
      <c r="M852" s="5"/>
      <c r="N852" s="5"/>
      <c r="O852" s="5"/>
      <c r="P852" s="5"/>
    </row>
    <row r="853" spans="2:16" s="8" customFormat="1" ht="16.5" hidden="1">
      <c r="B853" s="37"/>
      <c r="C853" s="37"/>
      <c r="D853" s="38"/>
      <c r="E853" s="38"/>
      <c r="F853" s="39"/>
      <c r="K853" s="5"/>
      <c r="L853" s="5"/>
      <c r="M853" s="5"/>
      <c r="N853" s="5"/>
      <c r="O853" s="5"/>
      <c r="P853" s="5"/>
    </row>
    <row r="854" spans="2:16" s="8" customFormat="1" ht="16.5" hidden="1">
      <c r="B854" s="37"/>
      <c r="C854" s="37"/>
      <c r="D854" s="38"/>
      <c r="E854" s="38"/>
      <c r="F854" s="39"/>
      <c r="K854" s="5"/>
      <c r="L854" s="5"/>
      <c r="M854" s="5"/>
      <c r="N854" s="5"/>
      <c r="O854" s="5"/>
      <c r="P854" s="5"/>
    </row>
    <row r="855" spans="2:16" s="8" customFormat="1" ht="16.5" hidden="1">
      <c r="B855" s="37"/>
      <c r="C855" s="37"/>
      <c r="D855" s="38"/>
      <c r="E855" s="38"/>
      <c r="F855" s="39"/>
      <c r="K855" s="5"/>
      <c r="L855" s="5"/>
      <c r="M855" s="5"/>
      <c r="N855" s="5"/>
      <c r="O855" s="5"/>
      <c r="P855" s="5"/>
    </row>
    <row r="856" spans="2:16" s="8" customFormat="1" ht="16.5" hidden="1">
      <c r="B856" s="37"/>
      <c r="C856" s="37"/>
      <c r="D856" s="38"/>
      <c r="E856" s="38"/>
      <c r="F856" s="39"/>
      <c r="K856" s="5"/>
      <c r="L856" s="5"/>
      <c r="M856" s="5"/>
      <c r="N856" s="5"/>
      <c r="O856" s="5"/>
      <c r="P856" s="5"/>
    </row>
    <row r="857" spans="2:16" s="8" customFormat="1" ht="16.5" hidden="1">
      <c r="B857" s="37"/>
      <c r="C857" s="37"/>
      <c r="D857" s="38"/>
      <c r="E857" s="38"/>
      <c r="F857" s="39"/>
      <c r="K857" s="5"/>
      <c r="L857" s="5"/>
      <c r="M857" s="5"/>
      <c r="N857" s="5"/>
      <c r="O857" s="5"/>
      <c r="P857" s="5"/>
    </row>
    <row r="858" spans="2:16" s="8" customFormat="1" ht="16.5" hidden="1">
      <c r="B858" s="37"/>
      <c r="C858" s="37"/>
      <c r="D858" s="38"/>
      <c r="E858" s="38"/>
      <c r="F858" s="39"/>
      <c r="K858" s="5"/>
      <c r="L858" s="5"/>
      <c r="M858" s="5"/>
      <c r="N858" s="5"/>
      <c r="O858" s="5"/>
      <c r="P858" s="5"/>
    </row>
    <row r="859" spans="2:16" s="8" customFormat="1" ht="16.5" hidden="1">
      <c r="B859" s="37"/>
      <c r="C859" s="37"/>
      <c r="D859" s="38"/>
      <c r="E859" s="38"/>
      <c r="F859" s="39"/>
      <c r="K859" s="5"/>
      <c r="L859" s="5"/>
      <c r="M859" s="5"/>
      <c r="N859" s="5"/>
      <c r="O859" s="5"/>
      <c r="P859" s="5"/>
    </row>
    <row r="860" spans="2:16" s="8" customFormat="1" ht="16.5" hidden="1">
      <c r="B860" s="37"/>
      <c r="C860" s="37"/>
      <c r="D860" s="38"/>
      <c r="E860" s="38"/>
      <c r="F860" s="39"/>
      <c r="K860" s="5"/>
      <c r="L860" s="5"/>
      <c r="M860" s="5"/>
      <c r="N860" s="5"/>
      <c r="O860" s="5"/>
      <c r="P860" s="5"/>
    </row>
    <row r="861" spans="2:16" s="8" customFormat="1" ht="16.5" hidden="1">
      <c r="B861" s="37"/>
      <c r="C861" s="37"/>
      <c r="D861" s="38"/>
      <c r="E861" s="38"/>
      <c r="F861" s="39"/>
      <c r="K861" s="5"/>
      <c r="L861" s="5"/>
      <c r="M861" s="5"/>
      <c r="N861" s="5"/>
      <c r="O861" s="5"/>
      <c r="P861" s="5"/>
    </row>
    <row r="862" spans="2:16" s="8" customFormat="1" ht="16.5" hidden="1">
      <c r="B862" s="37"/>
      <c r="C862" s="37"/>
      <c r="D862" s="38"/>
      <c r="E862" s="38"/>
      <c r="F862" s="39"/>
      <c r="K862" s="5"/>
      <c r="L862" s="5"/>
      <c r="M862" s="5"/>
      <c r="N862" s="5"/>
      <c r="O862" s="5"/>
      <c r="P862" s="5"/>
    </row>
    <row r="863" spans="2:16" s="8" customFormat="1" ht="16.5" hidden="1">
      <c r="B863" s="37"/>
      <c r="C863" s="37"/>
      <c r="D863" s="38"/>
      <c r="E863" s="38"/>
      <c r="F863" s="39"/>
      <c r="K863" s="5"/>
      <c r="L863" s="5"/>
      <c r="M863" s="5"/>
      <c r="N863" s="5"/>
      <c r="O863" s="5"/>
      <c r="P863" s="5"/>
    </row>
    <row r="864" spans="2:16" s="8" customFormat="1" ht="16.5" hidden="1">
      <c r="B864" s="37"/>
      <c r="C864" s="37"/>
      <c r="D864" s="38"/>
      <c r="E864" s="38"/>
      <c r="F864" s="39"/>
      <c r="K864" s="5"/>
      <c r="L864" s="5"/>
      <c r="M864" s="5"/>
      <c r="N864" s="5"/>
      <c r="O864" s="5"/>
      <c r="P864" s="5"/>
    </row>
    <row r="865" spans="2:16" s="8" customFormat="1" ht="16.5" hidden="1">
      <c r="B865" s="37"/>
      <c r="C865" s="37"/>
      <c r="D865" s="38"/>
      <c r="E865" s="38"/>
      <c r="F865" s="39"/>
      <c r="K865" s="5"/>
      <c r="L865" s="5"/>
      <c r="M865" s="5"/>
      <c r="N865" s="5"/>
      <c r="O865" s="5"/>
      <c r="P865" s="5"/>
    </row>
    <row r="866" spans="2:16" s="8" customFormat="1" ht="16.5" hidden="1">
      <c r="B866" s="37"/>
      <c r="C866" s="37"/>
      <c r="D866" s="38"/>
      <c r="E866" s="38"/>
      <c r="F866" s="39"/>
      <c r="K866" s="5"/>
      <c r="L866" s="5"/>
      <c r="M866" s="5"/>
      <c r="N866" s="5"/>
      <c r="O866" s="5"/>
      <c r="P866" s="5"/>
    </row>
    <row r="867" spans="2:16" s="8" customFormat="1" ht="16.5" hidden="1">
      <c r="B867" s="37"/>
      <c r="C867" s="37"/>
      <c r="D867" s="38"/>
      <c r="E867" s="38"/>
      <c r="F867" s="39"/>
      <c r="K867" s="5"/>
      <c r="L867" s="5"/>
      <c r="M867" s="5"/>
      <c r="N867" s="5"/>
      <c r="O867" s="5"/>
      <c r="P867" s="5"/>
    </row>
    <row r="868" spans="2:16" s="8" customFormat="1" ht="16.5" hidden="1">
      <c r="B868" s="37"/>
      <c r="C868" s="37"/>
      <c r="D868" s="38"/>
      <c r="E868" s="38"/>
      <c r="F868" s="39"/>
      <c r="K868" s="5"/>
      <c r="L868" s="5"/>
      <c r="M868" s="5"/>
      <c r="N868" s="5"/>
      <c r="O868" s="5"/>
      <c r="P868" s="5"/>
    </row>
    <row r="869" spans="2:16" s="8" customFormat="1" ht="16.5" hidden="1">
      <c r="B869" s="37"/>
      <c r="C869" s="37"/>
      <c r="D869" s="38"/>
      <c r="E869" s="38"/>
      <c r="F869" s="39"/>
      <c r="K869" s="5"/>
      <c r="L869" s="5"/>
      <c r="M869" s="5"/>
      <c r="N869" s="5"/>
      <c r="O869" s="5"/>
      <c r="P869" s="5"/>
    </row>
    <row r="870" spans="2:16" s="8" customFormat="1" ht="16.5" hidden="1">
      <c r="B870" s="37"/>
      <c r="C870" s="37"/>
      <c r="D870" s="38"/>
      <c r="E870" s="38"/>
      <c r="F870" s="39"/>
      <c r="K870" s="5"/>
      <c r="L870" s="5"/>
      <c r="M870" s="5"/>
      <c r="N870" s="5"/>
      <c r="O870" s="5"/>
      <c r="P870" s="5"/>
    </row>
    <row r="871" spans="2:16" s="8" customFormat="1" ht="16.5" hidden="1">
      <c r="B871" s="37"/>
      <c r="C871" s="37"/>
      <c r="D871" s="38"/>
      <c r="E871" s="38"/>
      <c r="F871" s="39"/>
      <c r="K871" s="5"/>
      <c r="L871" s="5"/>
      <c r="M871" s="5"/>
      <c r="N871" s="5"/>
      <c r="O871" s="5"/>
      <c r="P871" s="5"/>
    </row>
    <row r="872" spans="2:16" s="8" customFormat="1" ht="16.5" hidden="1">
      <c r="B872" s="37"/>
      <c r="C872" s="37"/>
      <c r="D872" s="38"/>
      <c r="E872" s="38"/>
      <c r="F872" s="39"/>
      <c r="K872" s="5"/>
      <c r="L872" s="5"/>
      <c r="M872" s="5"/>
      <c r="N872" s="5"/>
      <c r="O872" s="5"/>
      <c r="P872" s="5"/>
    </row>
    <row r="873" spans="2:16" s="8" customFormat="1" ht="16.5" hidden="1">
      <c r="B873" s="37"/>
      <c r="C873" s="37"/>
      <c r="D873" s="38"/>
      <c r="E873" s="38"/>
      <c r="F873" s="39"/>
      <c r="K873" s="5"/>
      <c r="L873" s="5"/>
      <c r="M873" s="5"/>
      <c r="N873" s="5"/>
      <c r="O873" s="5"/>
      <c r="P873" s="5"/>
    </row>
    <row r="874" spans="2:16" s="8" customFormat="1" ht="16.5" hidden="1">
      <c r="B874" s="37"/>
      <c r="C874" s="37"/>
      <c r="D874" s="38"/>
      <c r="E874" s="38"/>
      <c r="F874" s="39"/>
      <c r="K874" s="5"/>
      <c r="L874" s="5"/>
      <c r="M874" s="5"/>
      <c r="N874" s="5"/>
      <c r="O874" s="5"/>
      <c r="P874" s="5"/>
    </row>
    <row r="875" spans="2:16" s="8" customFormat="1" ht="16.5" hidden="1">
      <c r="B875" s="37"/>
      <c r="C875" s="37"/>
      <c r="D875" s="38"/>
      <c r="E875" s="38"/>
      <c r="F875" s="39"/>
      <c r="K875" s="5"/>
      <c r="L875" s="5"/>
      <c r="M875" s="5"/>
      <c r="N875" s="5"/>
      <c r="O875" s="5"/>
      <c r="P875" s="5"/>
    </row>
    <row r="876" spans="2:16" s="8" customFormat="1" ht="16.5" hidden="1">
      <c r="B876" s="37"/>
      <c r="C876" s="37"/>
      <c r="D876" s="38"/>
      <c r="E876" s="38"/>
      <c r="F876" s="39"/>
      <c r="K876" s="5"/>
      <c r="L876" s="5"/>
      <c r="M876" s="5"/>
      <c r="N876" s="5"/>
      <c r="O876" s="5"/>
      <c r="P876" s="5"/>
    </row>
    <row r="877" spans="2:16" s="8" customFormat="1" ht="16.5" hidden="1">
      <c r="B877" s="37"/>
      <c r="C877" s="37"/>
      <c r="D877" s="38"/>
      <c r="E877" s="38"/>
      <c r="F877" s="39"/>
      <c r="K877" s="5"/>
      <c r="L877" s="5"/>
      <c r="M877" s="5"/>
      <c r="N877" s="5"/>
      <c r="O877" s="5"/>
      <c r="P877" s="5"/>
    </row>
    <row r="878" spans="2:16" s="8" customFormat="1" ht="16.5" hidden="1">
      <c r="B878" s="37"/>
      <c r="C878" s="37"/>
      <c r="D878" s="38"/>
      <c r="E878" s="38"/>
      <c r="F878" s="39"/>
      <c r="K878" s="5"/>
      <c r="L878" s="5"/>
      <c r="M878" s="5"/>
      <c r="N878" s="5"/>
      <c r="O878" s="5"/>
      <c r="P878" s="5"/>
    </row>
    <row r="879" spans="2:16" s="8" customFormat="1" ht="16.5" hidden="1">
      <c r="B879" s="37"/>
      <c r="C879" s="37"/>
      <c r="D879" s="38"/>
      <c r="E879" s="38"/>
      <c r="F879" s="39"/>
      <c r="K879" s="5"/>
      <c r="L879" s="5"/>
      <c r="M879" s="5"/>
      <c r="N879" s="5"/>
      <c r="O879" s="5"/>
      <c r="P879" s="5"/>
    </row>
    <row r="880" spans="2:16" s="8" customFormat="1" ht="16.5" hidden="1">
      <c r="B880" s="37"/>
      <c r="C880" s="37"/>
      <c r="D880" s="38"/>
      <c r="E880" s="38"/>
      <c r="F880" s="39"/>
      <c r="K880" s="5"/>
      <c r="L880" s="5"/>
      <c r="M880" s="5"/>
      <c r="N880" s="5"/>
      <c r="O880" s="5"/>
      <c r="P880" s="5"/>
    </row>
    <row r="881" spans="2:16" s="8" customFormat="1" ht="16.5" hidden="1">
      <c r="B881" s="37"/>
      <c r="C881" s="37"/>
      <c r="D881" s="38"/>
      <c r="E881" s="38"/>
      <c r="F881" s="39"/>
      <c r="K881" s="5"/>
      <c r="L881" s="5"/>
      <c r="M881" s="5"/>
      <c r="N881" s="5"/>
      <c r="O881" s="5"/>
      <c r="P881" s="5"/>
    </row>
    <row r="882" spans="2:16" s="8" customFormat="1" ht="16.5" hidden="1">
      <c r="B882" s="37"/>
      <c r="C882" s="37"/>
      <c r="D882" s="38"/>
      <c r="E882" s="38"/>
      <c r="F882" s="39"/>
      <c r="K882" s="5"/>
      <c r="L882" s="5"/>
      <c r="M882" s="5"/>
      <c r="N882" s="5"/>
      <c r="O882" s="5"/>
      <c r="P882" s="5"/>
    </row>
    <row r="883" spans="2:16" s="8" customFormat="1" ht="16.5" hidden="1">
      <c r="B883" s="37"/>
      <c r="C883" s="37"/>
      <c r="D883" s="38"/>
      <c r="E883" s="38"/>
      <c r="F883" s="39"/>
      <c r="K883" s="5"/>
      <c r="L883" s="5"/>
      <c r="M883" s="5"/>
      <c r="N883" s="5"/>
      <c r="O883" s="5"/>
      <c r="P883" s="5"/>
    </row>
    <row r="884" spans="2:16" s="8" customFormat="1" ht="16.5" hidden="1">
      <c r="B884" s="37"/>
      <c r="C884" s="37"/>
      <c r="D884" s="38"/>
      <c r="E884" s="38"/>
      <c r="F884" s="39"/>
      <c r="K884" s="5"/>
      <c r="L884" s="5"/>
      <c r="M884" s="5"/>
      <c r="N884" s="5"/>
      <c r="O884" s="5"/>
      <c r="P884" s="5"/>
    </row>
    <row r="885" spans="2:16" s="8" customFormat="1" ht="16.5" hidden="1">
      <c r="B885" s="37"/>
      <c r="C885" s="37"/>
      <c r="D885" s="38"/>
      <c r="E885" s="38"/>
      <c r="F885" s="39"/>
      <c r="K885" s="5"/>
      <c r="L885" s="5"/>
      <c r="M885" s="5"/>
      <c r="N885" s="5"/>
      <c r="O885" s="5"/>
      <c r="P885" s="5"/>
    </row>
    <row r="886" spans="2:16" s="8" customFormat="1" ht="16.5" hidden="1">
      <c r="B886" s="37"/>
      <c r="C886" s="37"/>
      <c r="D886" s="38"/>
      <c r="E886" s="38"/>
      <c r="F886" s="39"/>
      <c r="K886" s="5"/>
      <c r="L886" s="5"/>
      <c r="M886" s="5"/>
      <c r="N886" s="5"/>
      <c r="O886" s="5"/>
      <c r="P886" s="5"/>
    </row>
    <row r="887" spans="2:16" s="8" customFormat="1" ht="16.5" hidden="1">
      <c r="B887" s="37"/>
      <c r="C887" s="37"/>
      <c r="D887" s="38"/>
      <c r="E887" s="38"/>
      <c r="F887" s="39"/>
      <c r="K887" s="5"/>
      <c r="L887" s="5"/>
      <c r="M887" s="5"/>
      <c r="N887" s="5"/>
      <c r="O887" s="5"/>
      <c r="P887" s="5"/>
    </row>
    <row r="888" spans="2:16" s="8" customFormat="1" ht="16.5" hidden="1">
      <c r="B888" s="37"/>
      <c r="C888" s="37"/>
      <c r="D888" s="38"/>
      <c r="E888" s="38"/>
      <c r="F888" s="39"/>
      <c r="K888" s="5"/>
      <c r="L888" s="5"/>
      <c r="M888" s="5"/>
      <c r="N888" s="5"/>
      <c r="O888" s="5"/>
      <c r="P888" s="5"/>
    </row>
    <row r="889" spans="2:16" s="8" customFormat="1" ht="16.5" hidden="1">
      <c r="B889" s="37"/>
      <c r="C889" s="37"/>
      <c r="D889" s="38"/>
      <c r="E889" s="38"/>
      <c r="F889" s="39"/>
      <c r="K889" s="5"/>
      <c r="L889" s="5"/>
      <c r="M889" s="5"/>
      <c r="N889" s="5"/>
      <c r="O889" s="5"/>
      <c r="P889" s="5"/>
    </row>
    <row r="890" spans="2:16" s="8" customFormat="1" ht="16.5" hidden="1">
      <c r="B890" s="37"/>
      <c r="C890" s="37"/>
      <c r="D890" s="38"/>
      <c r="E890" s="38"/>
      <c r="F890" s="39"/>
      <c r="K890" s="5"/>
      <c r="L890" s="5"/>
      <c r="M890" s="5"/>
      <c r="N890" s="5"/>
      <c r="O890" s="5"/>
      <c r="P890" s="5"/>
    </row>
    <row r="891" spans="2:16" s="8" customFormat="1" ht="16.5" hidden="1">
      <c r="B891" s="37"/>
      <c r="C891" s="37"/>
      <c r="D891" s="38"/>
      <c r="E891" s="38"/>
      <c r="F891" s="39"/>
      <c r="K891" s="5"/>
      <c r="L891" s="5"/>
      <c r="M891" s="5"/>
      <c r="N891" s="5"/>
      <c r="O891" s="5"/>
      <c r="P891" s="5"/>
    </row>
    <row r="892" spans="2:16" s="8" customFormat="1" ht="16.5" hidden="1">
      <c r="B892" s="37"/>
      <c r="C892" s="37"/>
      <c r="D892" s="38"/>
      <c r="E892" s="38"/>
      <c r="F892" s="39"/>
      <c r="K892" s="5"/>
      <c r="L892" s="5"/>
      <c r="M892" s="5"/>
      <c r="N892" s="5"/>
      <c r="O892" s="5"/>
      <c r="P892" s="5"/>
    </row>
    <row r="893" spans="2:16" s="8" customFormat="1" ht="16.5" hidden="1">
      <c r="B893" s="37"/>
      <c r="C893" s="37"/>
      <c r="D893" s="38"/>
      <c r="E893" s="38"/>
      <c r="F893" s="39"/>
      <c r="K893" s="5"/>
      <c r="L893" s="5"/>
      <c r="M893" s="5"/>
      <c r="N893" s="5"/>
      <c r="O893" s="5"/>
      <c r="P893" s="5"/>
    </row>
    <row r="894" spans="2:16" s="8" customFormat="1" ht="16.5" hidden="1">
      <c r="B894" s="37"/>
      <c r="C894" s="37"/>
      <c r="D894" s="38"/>
      <c r="E894" s="38"/>
      <c r="F894" s="39"/>
      <c r="K894" s="5"/>
      <c r="L894" s="5"/>
      <c r="M894" s="5"/>
      <c r="N894" s="5"/>
      <c r="O894" s="5"/>
      <c r="P894" s="5"/>
    </row>
    <row r="895" spans="2:16" s="8" customFormat="1" ht="16.5" hidden="1">
      <c r="B895" s="37"/>
      <c r="C895" s="37"/>
      <c r="D895" s="38"/>
      <c r="E895" s="38"/>
      <c r="F895" s="39"/>
      <c r="K895" s="5"/>
      <c r="L895" s="5"/>
      <c r="M895" s="5"/>
      <c r="N895" s="5"/>
      <c r="O895" s="5"/>
      <c r="P895" s="5"/>
    </row>
    <row r="896" spans="2:16" s="8" customFormat="1" ht="16.5" hidden="1">
      <c r="B896" s="37"/>
      <c r="C896" s="37"/>
      <c r="D896" s="38"/>
      <c r="E896" s="38"/>
      <c r="F896" s="39"/>
      <c r="K896" s="5"/>
      <c r="L896" s="5"/>
      <c r="M896" s="5"/>
      <c r="N896" s="5"/>
      <c r="O896" s="5"/>
      <c r="P896" s="5"/>
    </row>
    <row r="897" spans="2:16" s="8" customFormat="1" ht="16.5" hidden="1">
      <c r="B897" s="37"/>
      <c r="C897" s="37"/>
      <c r="D897" s="38"/>
      <c r="E897" s="38"/>
      <c r="F897" s="39"/>
      <c r="K897" s="5"/>
      <c r="L897" s="5"/>
      <c r="M897" s="5"/>
      <c r="N897" s="5"/>
      <c r="O897" s="5"/>
      <c r="P897" s="5"/>
    </row>
    <row r="898" spans="2:16" s="8" customFormat="1" ht="16.5" hidden="1">
      <c r="B898" s="37"/>
      <c r="C898" s="37"/>
      <c r="D898" s="38"/>
      <c r="E898" s="38"/>
      <c r="F898" s="39"/>
      <c r="K898" s="5"/>
      <c r="L898" s="5"/>
      <c r="M898" s="5"/>
      <c r="N898" s="5"/>
      <c r="O898" s="5"/>
      <c r="P898" s="5"/>
    </row>
    <row r="899" spans="2:16" s="8" customFormat="1" ht="16.5" hidden="1">
      <c r="B899" s="37"/>
      <c r="C899" s="37"/>
      <c r="D899" s="38"/>
      <c r="E899" s="38"/>
      <c r="F899" s="39"/>
      <c r="K899" s="5"/>
      <c r="L899" s="5"/>
      <c r="M899" s="5"/>
      <c r="N899" s="5"/>
      <c r="O899" s="5"/>
      <c r="P899" s="5"/>
    </row>
    <row r="900" spans="2:16" s="8" customFormat="1" ht="16.5" hidden="1">
      <c r="B900" s="37"/>
      <c r="C900" s="37"/>
      <c r="D900" s="38"/>
      <c r="E900" s="38"/>
      <c r="F900" s="39"/>
      <c r="K900" s="5"/>
      <c r="L900" s="5"/>
      <c r="M900" s="5"/>
      <c r="N900" s="5"/>
      <c r="O900" s="5"/>
      <c r="P900" s="5"/>
    </row>
    <row r="901" spans="2:16" s="8" customFormat="1" ht="16.5" hidden="1">
      <c r="B901" s="37"/>
      <c r="C901" s="37"/>
      <c r="D901" s="38"/>
      <c r="E901" s="38"/>
      <c r="F901" s="39"/>
      <c r="K901" s="5"/>
      <c r="L901" s="5"/>
      <c r="M901" s="5"/>
      <c r="N901" s="5"/>
      <c r="O901" s="5"/>
      <c r="P901" s="5"/>
    </row>
    <row r="902" spans="2:16" s="8" customFormat="1" ht="16.5" hidden="1">
      <c r="B902" s="37"/>
      <c r="C902" s="37"/>
      <c r="D902" s="38"/>
      <c r="E902" s="38"/>
      <c r="F902" s="39"/>
      <c r="K902" s="5"/>
      <c r="L902" s="5"/>
      <c r="M902" s="5"/>
      <c r="N902" s="5"/>
      <c r="O902" s="5"/>
      <c r="P902" s="5"/>
    </row>
    <row r="903" spans="2:16" s="8" customFormat="1" ht="16.5" hidden="1">
      <c r="B903" s="37"/>
      <c r="C903" s="37"/>
      <c r="D903" s="38"/>
      <c r="E903" s="38"/>
      <c r="F903" s="39"/>
      <c r="K903" s="5"/>
      <c r="L903" s="5"/>
      <c r="M903" s="5"/>
      <c r="N903" s="5"/>
      <c r="O903" s="5"/>
      <c r="P903" s="5"/>
    </row>
    <row r="904" spans="2:16" s="8" customFormat="1" ht="16.5" hidden="1">
      <c r="B904" s="37"/>
      <c r="C904" s="37"/>
      <c r="D904" s="38"/>
      <c r="E904" s="38"/>
      <c r="F904" s="39"/>
      <c r="K904" s="5"/>
      <c r="L904" s="5"/>
      <c r="M904" s="5"/>
      <c r="N904" s="5"/>
      <c r="O904" s="5"/>
      <c r="P904" s="5"/>
    </row>
    <row r="905" spans="2:16" s="8" customFormat="1" ht="16.5" hidden="1">
      <c r="B905" s="37"/>
      <c r="C905" s="37"/>
      <c r="D905" s="38"/>
      <c r="E905" s="38"/>
      <c r="F905" s="39"/>
      <c r="K905" s="5"/>
      <c r="L905" s="5"/>
      <c r="M905" s="5"/>
      <c r="N905" s="5"/>
      <c r="O905" s="5"/>
      <c r="P905" s="5"/>
    </row>
    <row r="906" spans="2:16" s="8" customFormat="1" ht="16.5" hidden="1">
      <c r="B906" s="37"/>
      <c r="C906" s="37"/>
      <c r="D906" s="38"/>
      <c r="E906" s="38"/>
      <c r="F906" s="39"/>
      <c r="K906" s="5"/>
      <c r="L906" s="5"/>
      <c r="M906" s="5"/>
      <c r="N906" s="5"/>
      <c r="O906" s="5"/>
      <c r="P906" s="5"/>
    </row>
    <row r="907" spans="2:16" s="8" customFormat="1" ht="16.5" hidden="1">
      <c r="B907" s="37"/>
      <c r="C907" s="37"/>
      <c r="D907" s="38"/>
      <c r="E907" s="38"/>
      <c r="F907" s="39"/>
      <c r="K907" s="5"/>
      <c r="L907" s="5"/>
      <c r="M907" s="5"/>
      <c r="N907" s="5"/>
      <c r="O907" s="5"/>
      <c r="P907" s="5"/>
    </row>
    <row r="908" spans="2:16" s="8" customFormat="1" ht="16.5" hidden="1">
      <c r="B908" s="37"/>
      <c r="C908" s="37"/>
      <c r="D908" s="38"/>
      <c r="E908" s="38"/>
      <c r="F908" s="39"/>
      <c r="K908" s="5"/>
      <c r="L908" s="5"/>
      <c r="M908" s="5"/>
      <c r="N908" s="5"/>
      <c r="O908" s="5"/>
      <c r="P908" s="5"/>
    </row>
    <row r="909" spans="2:16" s="8" customFormat="1" ht="16.5" hidden="1">
      <c r="B909" s="37"/>
      <c r="C909" s="37"/>
      <c r="D909" s="38"/>
      <c r="E909" s="38"/>
      <c r="F909" s="39"/>
      <c r="K909" s="5"/>
      <c r="L909" s="5"/>
      <c r="M909" s="5"/>
      <c r="N909" s="5"/>
      <c r="O909" s="5"/>
      <c r="P909" s="5"/>
    </row>
    <row r="910" spans="2:16" s="8" customFormat="1" ht="16.5" hidden="1">
      <c r="B910" s="37"/>
      <c r="C910" s="37"/>
      <c r="D910" s="38"/>
      <c r="E910" s="38"/>
      <c r="F910" s="39"/>
      <c r="K910" s="5"/>
      <c r="L910" s="5"/>
      <c r="M910" s="5"/>
      <c r="N910" s="5"/>
      <c r="O910" s="5"/>
      <c r="P910" s="5"/>
    </row>
    <row r="911" spans="2:16" s="8" customFormat="1" ht="16.5" hidden="1">
      <c r="B911" s="37"/>
      <c r="C911" s="37"/>
      <c r="D911" s="38"/>
      <c r="E911" s="38"/>
      <c r="F911" s="39"/>
      <c r="K911" s="5"/>
      <c r="L911" s="5"/>
      <c r="M911" s="5"/>
      <c r="N911" s="5"/>
      <c r="O911" s="5"/>
      <c r="P911" s="5"/>
    </row>
    <row r="912" spans="2:16" s="8" customFormat="1" ht="16.5" hidden="1">
      <c r="B912" s="37"/>
      <c r="C912" s="37"/>
      <c r="D912" s="38"/>
      <c r="E912" s="38"/>
      <c r="F912" s="39"/>
      <c r="K912" s="5"/>
      <c r="L912" s="5"/>
      <c r="M912" s="5"/>
      <c r="N912" s="5"/>
      <c r="O912" s="5"/>
      <c r="P912" s="5"/>
    </row>
    <row r="913" spans="2:16" s="8" customFormat="1" ht="16.5" hidden="1">
      <c r="B913" s="37"/>
      <c r="C913" s="37"/>
      <c r="D913" s="38"/>
      <c r="E913" s="38"/>
      <c r="F913" s="39"/>
      <c r="K913" s="5"/>
      <c r="L913" s="5"/>
      <c r="M913" s="5"/>
      <c r="N913" s="5"/>
      <c r="O913" s="5"/>
      <c r="P913" s="5"/>
    </row>
    <row r="914" spans="2:16" s="8" customFormat="1" ht="16.5" hidden="1">
      <c r="B914" s="37"/>
      <c r="C914" s="37"/>
      <c r="D914" s="38"/>
      <c r="E914" s="38"/>
      <c r="F914" s="39"/>
      <c r="K914" s="5"/>
      <c r="L914" s="5"/>
      <c r="M914" s="5"/>
      <c r="N914" s="5"/>
      <c r="O914" s="5"/>
      <c r="P914" s="5"/>
    </row>
    <row r="915" spans="2:16" s="8" customFormat="1" ht="16.5" hidden="1">
      <c r="B915" s="37"/>
      <c r="C915" s="37"/>
      <c r="D915" s="38"/>
      <c r="E915" s="38"/>
      <c r="F915" s="39"/>
      <c r="K915" s="5"/>
      <c r="L915" s="5"/>
      <c r="M915" s="5"/>
      <c r="N915" s="5"/>
      <c r="O915" s="5"/>
      <c r="P915" s="5"/>
    </row>
    <row r="916" spans="2:16" s="8" customFormat="1" ht="16.5" hidden="1">
      <c r="B916" s="37"/>
      <c r="C916" s="37"/>
      <c r="D916" s="38"/>
      <c r="E916" s="38"/>
      <c r="F916" s="39"/>
      <c r="K916" s="5"/>
      <c r="L916" s="5"/>
      <c r="M916" s="5"/>
      <c r="N916" s="5"/>
      <c r="O916" s="5"/>
      <c r="P916" s="5"/>
    </row>
    <row r="917" spans="2:16" s="8" customFormat="1" ht="16.5" hidden="1">
      <c r="B917" s="37"/>
      <c r="C917" s="37"/>
      <c r="D917" s="38"/>
      <c r="E917" s="38"/>
      <c r="F917" s="39"/>
      <c r="K917" s="5"/>
      <c r="L917" s="5"/>
      <c r="M917" s="5"/>
      <c r="N917" s="5"/>
      <c r="O917" s="5"/>
      <c r="P917" s="5"/>
    </row>
    <row r="918" spans="2:16" s="8" customFormat="1" ht="16.5" hidden="1">
      <c r="B918" s="37"/>
      <c r="C918" s="37"/>
      <c r="D918" s="38"/>
      <c r="E918" s="38"/>
      <c r="F918" s="39"/>
      <c r="K918" s="5"/>
      <c r="L918" s="5"/>
      <c r="M918" s="5"/>
      <c r="N918" s="5"/>
      <c r="O918" s="5"/>
      <c r="P918" s="5"/>
    </row>
    <row r="919" spans="2:16" s="8" customFormat="1" ht="16.5" hidden="1">
      <c r="B919" s="37"/>
      <c r="C919" s="37"/>
      <c r="D919" s="38"/>
      <c r="E919" s="38"/>
      <c r="F919" s="39"/>
      <c r="K919" s="5"/>
      <c r="L919" s="5"/>
      <c r="M919" s="5"/>
      <c r="N919" s="5"/>
      <c r="O919" s="5"/>
      <c r="P919" s="5"/>
    </row>
    <row r="920" spans="2:16" s="8" customFormat="1" ht="16.5" hidden="1">
      <c r="B920" s="37"/>
      <c r="C920" s="37"/>
      <c r="D920" s="38"/>
      <c r="E920" s="38"/>
      <c r="F920" s="39"/>
      <c r="K920" s="5"/>
      <c r="L920" s="5"/>
      <c r="M920" s="5"/>
      <c r="N920" s="5"/>
      <c r="O920" s="5"/>
      <c r="P920" s="5"/>
    </row>
    <row r="921" spans="2:16" s="8" customFormat="1" ht="16.5" hidden="1">
      <c r="B921" s="37"/>
      <c r="C921" s="37"/>
      <c r="D921" s="38"/>
      <c r="E921" s="38"/>
      <c r="F921" s="39"/>
      <c r="K921" s="5"/>
      <c r="L921" s="5"/>
      <c r="M921" s="5"/>
      <c r="N921" s="5"/>
      <c r="O921" s="5"/>
      <c r="P921" s="5"/>
    </row>
    <row r="922" spans="2:16" s="8" customFormat="1" ht="16.5" hidden="1">
      <c r="B922" s="37"/>
      <c r="C922" s="37"/>
      <c r="D922" s="38"/>
      <c r="E922" s="38"/>
      <c r="F922" s="39"/>
      <c r="K922" s="5"/>
      <c r="L922" s="5"/>
      <c r="M922" s="5"/>
      <c r="N922" s="5"/>
      <c r="O922" s="5"/>
      <c r="P922" s="5"/>
    </row>
    <row r="923" spans="2:16" s="8" customFormat="1" ht="16.5" hidden="1">
      <c r="B923" s="37"/>
      <c r="C923" s="37"/>
      <c r="D923" s="38"/>
      <c r="E923" s="38"/>
      <c r="F923" s="39"/>
      <c r="K923" s="5"/>
      <c r="L923" s="5"/>
      <c r="M923" s="5"/>
      <c r="N923" s="5"/>
      <c r="O923" s="5"/>
      <c r="P923" s="5"/>
    </row>
    <row r="924" spans="2:16" s="8" customFormat="1" ht="16.5" hidden="1">
      <c r="B924" s="37"/>
      <c r="C924" s="37"/>
      <c r="D924" s="38"/>
      <c r="E924" s="38"/>
      <c r="F924" s="39"/>
      <c r="K924" s="5"/>
      <c r="L924" s="5"/>
      <c r="M924" s="5"/>
      <c r="N924" s="5"/>
      <c r="O924" s="5"/>
      <c r="P924" s="5"/>
    </row>
    <row r="925" spans="2:16" s="8" customFormat="1" ht="16.5" hidden="1">
      <c r="B925" s="37"/>
      <c r="C925" s="37"/>
      <c r="D925" s="38"/>
      <c r="E925" s="38"/>
      <c r="F925" s="39"/>
      <c r="K925" s="5"/>
      <c r="L925" s="5"/>
      <c r="M925" s="5"/>
      <c r="N925" s="5"/>
      <c r="O925" s="5"/>
      <c r="P925" s="5"/>
    </row>
    <row r="926" spans="2:16" s="8" customFormat="1" ht="16.5" hidden="1">
      <c r="B926" s="37"/>
      <c r="C926" s="37"/>
      <c r="D926" s="38"/>
      <c r="E926" s="38"/>
      <c r="F926" s="39"/>
      <c r="K926" s="5"/>
      <c r="L926" s="5"/>
      <c r="M926" s="5"/>
      <c r="N926" s="5"/>
      <c r="O926" s="5"/>
      <c r="P926" s="5"/>
    </row>
    <row r="927" spans="2:16" s="8" customFormat="1" ht="16.5" hidden="1">
      <c r="B927" s="37"/>
      <c r="C927" s="37"/>
      <c r="D927" s="38"/>
      <c r="E927" s="38"/>
      <c r="F927" s="39"/>
      <c r="K927" s="5"/>
      <c r="L927" s="5"/>
      <c r="M927" s="5"/>
      <c r="N927" s="5"/>
      <c r="O927" s="5"/>
      <c r="P927" s="5"/>
    </row>
    <row r="928" spans="2:16" s="8" customFormat="1" ht="16.5" hidden="1">
      <c r="B928" s="37"/>
      <c r="C928" s="37"/>
      <c r="D928" s="38"/>
      <c r="E928" s="38"/>
      <c r="F928" s="39"/>
      <c r="K928" s="5"/>
      <c r="L928" s="5"/>
      <c r="M928" s="5"/>
      <c r="N928" s="5"/>
      <c r="O928" s="5"/>
      <c r="P928" s="5"/>
    </row>
    <row r="929" spans="2:16" s="8" customFormat="1" ht="16.5" hidden="1">
      <c r="B929" s="37"/>
      <c r="C929" s="37"/>
      <c r="D929" s="38"/>
      <c r="E929" s="38"/>
      <c r="F929" s="39"/>
      <c r="K929" s="5"/>
      <c r="L929" s="5"/>
      <c r="M929" s="5"/>
      <c r="N929" s="5"/>
      <c r="O929" s="5"/>
      <c r="P929" s="5"/>
    </row>
    <row r="930" spans="2:16" s="8" customFormat="1" ht="16.5" hidden="1">
      <c r="B930" s="37"/>
      <c r="C930" s="37"/>
      <c r="D930" s="38"/>
      <c r="E930" s="38"/>
      <c r="F930" s="39"/>
      <c r="K930" s="5"/>
      <c r="L930" s="5"/>
      <c r="M930" s="5"/>
      <c r="N930" s="5"/>
      <c r="O930" s="5"/>
      <c r="P930" s="5"/>
    </row>
    <row r="931" spans="2:16" s="8" customFormat="1" ht="16.5" hidden="1">
      <c r="B931" s="37"/>
      <c r="C931" s="37"/>
      <c r="D931" s="38"/>
      <c r="E931" s="38"/>
      <c r="F931" s="39"/>
      <c r="K931" s="5"/>
      <c r="L931" s="5"/>
      <c r="M931" s="5"/>
      <c r="N931" s="5"/>
      <c r="O931" s="5"/>
      <c r="P931" s="5"/>
    </row>
    <row r="932" spans="2:16" s="8" customFormat="1" ht="16.5" hidden="1">
      <c r="B932" s="37"/>
      <c r="C932" s="37"/>
      <c r="D932" s="38"/>
      <c r="E932" s="38"/>
      <c r="F932" s="39"/>
      <c r="K932" s="5"/>
      <c r="L932" s="5"/>
      <c r="M932" s="5"/>
      <c r="N932" s="5"/>
      <c r="O932" s="5"/>
      <c r="P932" s="5"/>
    </row>
    <row r="933" spans="2:16" s="8" customFormat="1" ht="16.5" hidden="1">
      <c r="B933" s="37"/>
      <c r="C933" s="37"/>
      <c r="D933" s="38"/>
      <c r="E933" s="38"/>
      <c r="F933" s="39"/>
      <c r="K933" s="5"/>
      <c r="L933" s="5"/>
      <c r="M933" s="5"/>
      <c r="N933" s="5"/>
      <c r="O933" s="5"/>
      <c r="P933" s="5"/>
    </row>
    <row r="934" spans="2:16" s="8" customFormat="1" ht="16.5" hidden="1">
      <c r="B934" s="37"/>
      <c r="C934" s="37"/>
      <c r="D934" s="38"/>
      <c r="E934" s="38"/>
      <c r="F934" s="39"/>
      <c r="K934" s="5"/>
      <c r="L934" s="5"/>
      <c r="M934" s="5"/>
      <c r="N934" s="5"/>
      <c r="O934" s="5"/>
      <c r="P934" s="5"/>
    </row>
    <row r="935" spans="2:16" s="8" customFormat="1" ht="16.5" hidden="1">
      <c r="B935" s="37"/>
      <c r="C935" s="37"/>
      <c r="D935" s="38"/>
      <c r="E935" s="38"/>
      <c r="F935" s="39"/>
      <c r="K935" s="5"/>
      <c r="L935" s="5"/>
      <c r="M935" s="5"/>
      <c r="N935" s="5"/>
      <c r="O935" s="5"/>
      <c r="P935" s="5"/>
    </row>
    <row r="936" spans="2:16" s="8" customFormat="1" ht="16.5" hidden="1">
      <c r="B936" s="37"/>
      <c r="C936" s="37"/>
      <c r="D936" s="38"/>
      <c r="E936" s="38"/>
      <c r="F936" s="39"/>
      <c r="K936" s="5"/>
      <c r="L936" s="5"/>
      <c r="M936" s="5"/>
      <c r="N936" s="5"/>
      <c r="O936" s="5"/>
      <c r="P936" s="5"/>
    </row>
    <row r="937" spans="2:16" s="8" customFormat="1" ht="16.5" hidden="1">
      <c r="B937" s="37"/>
      <c r="C937" s="37"/>
      <c r="D937" s="38"/>
      <c r="E937" s="38"/>
      <c r="F937" s="39"/>
      <c r="K937" s="5"/>
      <c r="L937" s="5"/>
      <c r="M937" s="5"/>
      <c r="N937" s="5"/>
      <c r="O937" s="5"/>
      <c r="P937" s="5"/>
    </row>
    <row r="938" spans="2:16" s="8" customFormat="1" ht="16.5" hidden="1">
      <c r="B938" s="37"/>
      <c r="C938" s="37"/>
      <c r="D938" s="38"/>
      <c r="E938" s="38"/>
      <c r="F938" s="39"/>
      <c r="K938" s="5"/>
      <c r="L938" s="5"/>
      <c r="M938" s="5"/>
      <c r="N938" s="5"/>
      <c r="O938" s="5"/>
      <c r="P938" s="5"/>
    </row>
    <row r="939" spans="2:16" s="8" customFormat="1" ht="16.5" hidden="1">
      <c r="B939" s="37"/>
      <c r="C939" s="37"/>
      <c r="D939" s="38"/>
      <c r="E939" s="38"/>
      <c r="F939" s="39"/>
      <c r="K939" s="5"/>
      <c r="L939" s="5"/>
      <c r="M939" s="5"/>
      <c r="N939" s="5"/>
      <c r="O939" s="5"/>
      <c r="P939" s="5"/>
    </row>
    <row r="940" spans="2:16" s="8" customFormat="1" ht="16.5" hidden="1">
      <c r="B940" s="37"/>
      <c r="C940" s="37"/>
      <c r="D940" s="38"/>
      <c r="E940" s="38"/>
      <c r="F940" s="39"/>
      <c r="K940" s="5"/>
      <c r="L940" s="5"/>
      <c r="M940" s="5"/>
      <c r="N940" s="5"/>
      <c r="O940" s="5"/>
      <c r="P940" s="5"/>
    </row>
    <row r="941" spans="2:16" s="8" customFormat="1" ht="16.5" hidden="1">
      <c r="B941" s="37"/>
      <c r="C941" s="37"/>
      <c r="D941" s="38"/>
      <c r="E941" s="38"/>
      <c r="F941" s="39"/>
      <c r="K941" s="5"/>
      <c r="L941" s="5"/>
      <c r="M941" s="5"/>
      <c r="N941" s="5"/>
      <c r="O941" s="5"/>
      <c r="P941" s="5"/>
    </row>
    <row r="942" spans="2:16" s="8" customFormat="1" ht="16.5" hidden="1">
      <c r="B942" s="37"/>
      <c r="C942" s="37"/>
      <c r="D942" s="38"/>
      <c r="E942" s="38"/>
      <c r="F942" s="39"/>
      <c r="K942" s="5"/>
      <c r="L942" s="5"/>
      <c r="M942" s="5"/>
      <c r="N942" s="5"/>
      <c r="O942" s="5"/>
      <c r="P942" s="5"/>
    </row>
    <row r="943" spans="2:16" s="8" customFormat="1" ht="16.5" hidden="1">
      <c r="B943" s="37"/>
      <c r="C943" s="37"/>
      <c r="D943" s="38"/>
      <c r="E943" s="38"/>
      <c r="F943" s="39"/>
      <c r="K943" s="5"/>
      <c r="L943" s="5"/>
      <c r="M943" s="5"/>
      <c r="N943" s="5"/>
      <c r="O943" s="5"/>
      <c r="P943" s="5"/>
    </row>
    <row r="944" spans="2:16" s="8" customFormat="1" ht="16.5" hidden="1">
      <c r="B944" s="37"/>
      <c r="C944" s="37"/>
      <c r="D944" s="38"/>
      <c r="E944" s="38"/>
      <c r="F944" s="39"/>
      <c r="K944" s="5"/>
      <c r="L944" s="5"/>
      <c r="M944" s="5"/>
      <c r="N944" s="5"/>
      <c r="O944" s="5"/>
      <c r="P944" s="5"/>
    </row>
    <row r="945" spans="2:16" s="8" customFormat="1" ht="16.5" hidden="1">
      <c r="B945" s="37"/>
      <c r="C945" s="37"/>
      <c r="D945" s="38"/>
      <c r="E945" s="38"/>
      <c r="F945" s="39"/>
      <c r="K945" s="5"/>
      <c r="L945" s="5"/>
      <c r="M945" s="5"/>
      <c r="N945" s="5"/>
      <c r="O945" s="5"/>
      <c r="P945" s="5"/>
    </row>
    <row r="946" spans="2:16" s="8" customFormat="1" ht="16.5" hidden="1">
      <c r="B946" s="37"/>
      <c r="C946" s="37"/>
      <c r="D946" s="38"/>
      <c r="E946" s="38"/>
      <c r="F946" s="39"/>
      <c r="K946" s="5"/>
      <c r="L946" s="5"/>
      <c r="M946" s="5"/>
      <c r="N946" s="5"/>
      <c r="O946" s="5"/>
      <c r="P946" s="5"/>
    </row>
    <row r="947" spans="2:16" s="8" customFormat="1" ht="16.5" hidden="1">
      <c r="B947" s="37"/>
      <c r="C947" s="37"/>
      <c r="D947" s="38"/>
      <c r="E947" s="38"/>
      <c r="F947" s="39"/>
      <c r="K947" s="5"/>
      <c r="L947" s="5"/>
      <c r="M947" s="5"/>
      <c r="N947" s="5"/>
      <c r="O947" s="5"/>
      <c r="P947" s="5"/>
    </row>
    <row r="948" spans="2:16" s="8" customFormat="1" ht="16.5" hidden="1">
      <c r="B948" s="37"/>
      <c r="C948" s="37"/>
      <c r="D948" s="38"/>
      <c r="E948" s="38"/>
      <c r="F948" s="39"/>
      <c r="K948" s="5"/>
      <c r="L948" s="5"/>
      <c r="M948" s="5"/>
      <c r="N948" s="5"/>
      <c r="O948" s="5"/>
      <c r="P948" s="5"/>
    </row>
    <row r="949" spans="2:16" s="8" customFormat="1" ht="16.5" hidden="1">
      <c r="B949" s="37"/>
      <c r="C949" s="37"/>
      <c r="D949" s="38"/>
      <c r="E949" s="38"/>
      <c r="F949" s="39"/>
      <c r="K949" s="5"/>
      <c r="L949" s="5"/>
      <c r="M949" s="5"/>
      <c r="N949" s="5"/>
      <c r="O949" s="5"/>
      <c r="P949" s="5"/>
    </row>
    <row r="950" spans="2:16" s="8" customFormat="1" ht="16.5" hidden="1">
      <c r="B950" s="37"/>
      <c r="C950" s="37"/>
      <c r="D950" s="38"/>
      <c r="E950" s="38"/>
      <c r="F950" s="39"/>
      <c r="K950" s="5"/>
      <c r="L950" s="5"/>
      <c r="M950" s="5"/>
      <c r="N950" s="5"/>
      <c r="O950" s="5"/>
      <c r="P950" s="5"/>
    </row>
    <row r="951" spans="2:16" s="8" customFormat="1" ht="16.5" hidden="1">
      <c r="B951" s="37"/>
      <c r="C951" s="37"/>
      <c r="D951" s="38"/>
      <c r="E951" s="38"/>
      <c r="F951" s="39"/>
      <c r="K951" s="5"/>
      <c r="L951" s="5"/>
      <c r="M951" s="5"/>
      <c r="N951" s="5"/>
      <c r="O951" s="5"/>
      <c r="P951" s="5"/>
    </row>
    <row r="952" spans="2:16" s="8" customFormat="1" ht="16.5" hidden="1">
      <c r="B952" s="37"/>
      <c r="C952" s="37"/>
      <c r="D952" s="38"/>
      <c r="E952" s="38"/>
      <c r="F952" s="39"/>
      <c r="K952" s="5"/>
      <c r="L952" s="5"/>
      <c r="M952" s="5"/>
      <c r="N952" s="5"/>
      <c r="O952" s="5"/>
      <c r="P952" s="5"/>
    </row>
    <row r="953" spans="2:16" s="8" customFormat="1" ht="16.5" hidden="1">
      <c r="B953" s="37"/>
      <c r="C953" s="37"/>
      <c r="D953" s="38"/>
      <c r="E953" s="38"/>
      <c r="F953" s="39"/>
      <c r="K953" s="5"/>
      <c r="L953" s="5"/>
      <c r="M953" s="5"/>
      <c r="N953" s="5"/>
      <c r="O953" s="5"/>
      <c r="P953" s="5"/>
    </row>
    <row r="954" spans="2:16" s="8" customFormat="1" ht="16.5" hidden="1">
      <c r="B954" s="37"/>
      <c r="C954" s="37"/>
      <c r="D954" s="38"/>
      <c r="E954" s="38"/>
      <c r="F954" s="39"/>
      <c r="K954" s="5"/>
      <c r="L954" s="5"/>
      <c r="M954" s="5"/>
      <c r="N954" s="5"/>
      <c r="O954" s="5"/>
      <c r="P954" s="5"/>
    </row>
    <row r="955" spans="2:16" s="8" customFormat="1" ht="16.5" hidden="1">
      <c r="B955" s="37"/>
      <c r="C955" s="37"/>
      <c r="D955" s="38"/>
      <c r="E955" s="38"/>
      <c r="F955" s="39"/>
      <c r="K955" s="5"/>
      <c r="L955" s="5"/>
      <c r="M955" s="5"/>
      <c r="N955" s="5"/>
      <c r="O955" s="5"/>
      <c r="P955" s="5"/>
    </row>
    <row r="956" spans="2:16" s="8" customFormat="1" ht="16.5" hidden="1">
      <c r="B956" s="37"/>
      <c r="C956" s="37"/>
      <c r="D956" s="38"/>
      <c r="E956" s="38"/>
      <c r="F956" s="39"/>
      <c r="K956" s="5"/>
      <c r="L956" s="5"/>
      <c r="M956" s="5"/>
      <c r="N956" s="5"/>
      <c r="O956" s="5"/>
      <c r="P956" s="5"/>
    </row>
    <row r="957" spans="2:16" s="8" customFormat="1" ht="16.5" hidden="1">
      <c r="B957" s="37"/>
      <c r="C957" s="37"/>
      <c r="D957" s="38"/>
      <c r="E957" s="38"/>
      <c r="F957" s="39"/>
      <c r="K957" s="5"/>
      <c r="L957" s="5"/>
      <c r="M957" s="5"/>
      <c r="N957" s="5"/>
      <c r="O957" s="5"/>
      <c r="P957" s="5"/>
    </row>
    <row r="958" spans="2:16" s="8" customFormat="1" ht="16.5" hidden="1">
      <c r="B958" s="37"/>
      <c r="C958" s="37"/>
      <c r="D958" s="38"/>
      <c r="E958" s="38"/>
      <c r="F958" s="39"/>
      <c r="K958" s="5"/>
      <c r="L958" s="5"/>
      <c r="M958" s="5"/>
      <c r="N958" s="5"/>
      <c r="O958" s="5"/>
      <c r="P958" s="5"/>
    </row>
    <row r="959" spans="2:16" s="8" customFormat="1" ht="16.5" hidden="1">
      <c r="B959" s="37"/>
      <c r="C959" s="37"/>
      <c r="D959" s="38"/>
      <c r="E959" s="38"/>
      <c r="F959" s="39"/>
      <c r="K959" s="5"/>
      <c r="L959" s="5"/>
      <c r="M959" s="5"/>
      <c r="N959" s="5"/>
      <c r="O959" s="5"/>
      <c r="P959" s="5"/>
    </row>
    <row r="960" spans="2:16" s="8" customFormat="1" ht="16.5" hidden="1">
      <c r="B960" s="37"/>
      <c r="C960" s="37"/>
      <c r="D960" s="38"/>
      <c r="E960" s="38"/>
      <c r="F960" s="39"/>
      <c r="K960" s="5"/>
      <c r="L960" s="5"/>
      <c r="M960" s="5"/>
      <c r="N960" s="5"/>
      <c r="O960" s="5"/>
      <c r="P960" s="5"/>
    </row>
    <row r="961" spans="2:16" s="8" customFormat="1" ht="16.5" hidden="1">
      <c r="B961" s="37"/>
      <c r="C961" s="37"/>
      <c r="D961" s="38"/>
      <c r="E961" s="38"/>
      <c r="F961" s="39"/>
      <c r="K961" s="5"/>
      <c r="L961" s="5"/>
      <c r="M961" s="5"/>
      <c r="N961" s="5"/>
      <c r="O961" s="5"/>
      <c r="P961" s="5"/>
    </row>
    <row r="962" spans="2:16" s="8" customFormat="1" ht="16.5" hidden="1">
      <c r="B962" s="37"/>
      <c r="C962" s="37"/>
      <c r="D962" s="38"/>
      <c r="E962" s="38"/>
      <c r="F962" s="39"/>
      <c r="K962" s="5"/>
      <c r="L962" s="5"/>
      <c r="M962" s="5"/>
      <c r="N962" s="5"/>
      <c r="O962" s="5"/>
      <c r="P962" s="5"/>
    </row>
    <row r="963" spans="2:16" s="8" customFormat="1" ht="16.5" hidden="1">
      <c r="B963" s="37"/>
      <c r="C963" s="37"/>
      <c r="D963" s="38"/>
      <c r="E963" s="38"/>
      <c r="F963" s="39"/>
      <c r="K963" s="5"/>
      <c r="L963" s="5"/>
      <c r="M963" s="5"/>
      <c r="N963" s="5"/>
      <c r="O963" s="5"/>
      <c r="P963" s="5"/>
    </row>
    <row r="964" spans="2:16" s="8" customFormat="1" ht="16.5" hidden="1">
      <c r="B964" s="37"/>
      <c r="C964" s="37"/>
      <c r="D964" s="38"/>
      <c r="E964" s="38"/>
      <c r="F964" s="39"/>
      <c r="K964" s="5"/>
      <c r="L964" s="5"/>
      <c r="M964" s="5"/>
      <c r="N964" s="5"/>
      <c r="O964" s="5"/>
      <c r="P964" s="5"/>
    </row>
    <row r="965" spans="2:16" s="8" customFormat="1" ht="16.5" hidden="1">
      <c r="B965" s="37"/>
      <c r="C965" s="37"/>
      <c r="D965" s="38"/>
      <c r="E965" s="38"/>
      <c r="F965" s="39"/>
      <c r="K965" s="5"/>
      <c r="L965" s="5"/>
      <c r="M965" s="5"/>
      <c r="N965" s="5"/>
      <c r="O965" s="5"/>
      <c r="P965" s="5"/>
    </row>
    <row r="966" spans="2:16" s="8" customFormat="1" ht="16.5" hidden="1">
      <c r="B966" s="37"/>
      <c r="C966" s="37"/>
      <c r="D966" s="38"/>
      <c r="E966" s="38"/>
      <c r="F966" s="39"/>
      <c r="K966" s="5"/>
      <c r="L966" s="5"/>
      <c r="M966" s="5"/>
      <c r="N966" s="5"/>
      <c r="O966" s="5"/>
      <c r="P966" s="5"/>
    </row>
    <row r="967" spans="2:16" s="8" customFormat="1" ht="16.5" hidden="1">
      <c r="B967" s="37"/>
      <c r="C967" s="37"/>
      <c r="D967" s="38"/>
      <c r="E967" s="38"/>
      <c r="F967" s="39"/>
      <c r="K967" s="5"/>
      <c r="L967" s="5"/>
      <c r="M967" s="5"/>
      <c r="N967" s="5"/>
      <c r="O967" s="5"/>
      <c r="P967" s="5"/>
    </row>
    <row r="968" spans="2:16" s="8" customFormat="1" ht="16.5" hidden="1">
      <c r="B968" s="37"/>
      <c r="C968" s="37"/>
      <c r="D968" s="38"/>
      <c r="E968" s="38"/>
      <c r="F968" s="39"/>
      <c r="K968" s="5"/>
      <c r="L968" s="5"/>
      <c r="M968" s="5"/>
      <c r="N968" s="5"/>
      <c r="O968" s="5"/>
      <c r="P968" s="5"/>
    </row>
    <row r="969" spans="2:16" s="8" customFormat="1" ht="16.5" hidden="1">
      <c r="B969" s="37"/>
      <c r="C969" s="37"/>
      <c r="D969" s="38"/>
      <c r="E969" s="38"/>
      <c r="F969" s="39"/>
      <c r="K969" s="5"/>
      <c r="L969" s="5"/>
      <c r="M969" s="5"/>
      <c r="N969" s="5"/>
      <c r="O969" s="5"/>
      <c r="P969" s="5"/>
    </row>
    <row r="970" spans="2:16" s="8" customFormat="1" ht="16.5" hidden="1">
      <c r="B970" s="37"/>
      <c r="C970" s="37"/>
      <c r="D970" s="38"/>
      <c r="E970" s="38"/>
      <c r="F970" s="39"/>
      <c r="K970" s="5"/>
      <c r="L970" s="5"/>
      <c r="M970" s="5"/>
      <c r="N970" s="5"/>
      <c r="O970" s="5"/>
      <c r="P970" s="5"/>
    </row>
    <row r="971" spans="2:16" s="8" customFormat="1" ht="16.5" hidden="1">
      <c r="B971" s="37"/>
      <c r="C971" s="37"/>
      <c r="D971" s="38"/>
      <c r="E971" s="38"/>
      <c r="F971" s="39"/>
      <c r="K971" s="5"/>
      <c r="L971" s="5"/>
      <c r="M971" s="5"/>
      <c r="N971" s="5"/>
      <c r="O971" s="5"/>
      <c r="P971" s="5"/>
    </row>
    <row r="972" spans="2:16" s="8" customFormat="1" ht="16.5" hidden="1">
      <c r="B972" s="37"/>
      <c r="C972" s="37"/>
      <c r="D972" s="38"/>
      <c r="E972" s="38"/>
      <c r="F972" s="39"/>
      <c r="K972" s="5"/>
      <c r="L972" s="5"/>
      <c r="M972" s="5"/>
      <c r="N972" s="5"/>
      <c r="O972" s="5"/>
      <c r="P972" s="5"/>
    </row>
    <row r="973" spans="2:16" s="8" customFormat="1" ht="16.5" hidden="1">
      <c r="B973" s="37"/>
      <c r="C973" s="37"/>
      <c r="D973" s="38"/>
      <c r="E973" s="38"/>
      <c r="F973" s="39"/>
      <c r="K973" s="5"/>
      <c r="L973" s="5"/>
      <c r="M973" s="5"/>
      <c r="N973" s="5"/>
      <c r="O973" s="5"/>
      <c r="P973" s="5"/>
    </row>
    <row r="974" spans="2:16" s="8" customFormat="1" ht="16.5" hidden="1">
      <c r="B974" s="37"/>
      <c r="C974" s="37"/>
      <c r="D974" s="38"/>
      <c r="E974" s="38"/>
      <c r="F974" s="39"/>
      <c r="K974" s="5"/>
      <c r="L974" s="5"/>
      <c r="M974" s="5"/>
      <c r="N974" s="5"/>
      <c r="O974" s="5"/>
      <c r="P974" s="5"/>
    </row>
    <row r="975" spans="2:16" s="8" customFormat="1" ht="16.5" hidden="1">
      <c r="B975" s="37"/>
      <c r="C975" s="37"/>
      <c r="D975" s="38"/>
      <c r="E975" s="38"/>
      <c r="F975" s="39"/>
      <c r="K975" s="5"/>
      <c r="L975" s="5"/>
      <c r="M975" s="5"/>
      <c r="N975" s="5"/>
      <c r="O975" s="5"/>
      <c r="P975" s="5"/>
    </row>
    <row r="976" spans="2:16" s="8" customFormat="1" ht="16.5" hidden="1">
      <c r="B976" s="37"/>
      <c r="C976" s="37"/>
      <c r="D976" s="38"/>
      <c r="E976" s="38"/>
      <c r="F976" s="39"/>
      <c r="K976" s="5"/>
      <c r="L976" s="5"/>
      <c r="M976" s="5"/>
      <c r="N976" s="5"/>
      <c r="O976" s="5"/>
      <c r="P976" s="5"/>
    </row>
    <row r="977" spans="2:16" s="8" customFormat="1" ht="16.5" hidden="1">
      <c r="B977" s="37"/>
      <c r="C977" s="37"/>
      <c r="D977" s="38"/>
      <c r="E977" s="38"/>
      <c r="F977" s="39"/>
      <c r="K977" s="5"/>
      <c r="L977" s="5"/>
      <c r="M977" s="5"/>
      <c r="N977" s="5"/>
      <c r="O977" s="5"/>
      <c r="P977" s="5"/>
    </row>
    <row r="978" spans="2:16" s="8" customFormat="1" ht="16.5" hidden="1">
      <c r="B978" s="37"/>
      <c r="C978" s="37"/>
      <c r="D978" s="38"/>
      <c r="E978" s="38"/>
      <c r="F978" s="39"/>
      <c r="K978" s="5"/>
      <c r="L978" s="5"/>
      <c r="M978" s="5"/>
      <c r="N978" s="5"/>
      <c r="O978" s="5"/>
      <c r="P978" s="5"/>
    </row>
    <row r="979" spans="2:16" s="8" customFormat="1" ht="16.5" hidden="1">
      <c r="B979" s="37"/>
      <c r="C979" s="37"/>
      <c r="D979" s="38"/>
      <c r="E979" s="38"/>
      <c r="F979" s="39"/>
      <c r="K979" s="5"/>
      <c r="L979" s="5"/>
      <c r="M979" s="5"/>
      <c r="N979" s="5"/>
      <c r="O979" s="5"/>
      <c r="P979" s="5"/>
    </row>
    <row r="980" spans="2:16" s="8" customFormat="1" ht="16.5" hidden="1">
      <c r="B980" s="37"/>
      <c r="C980" s="37"/>
      <c r="D980" s="38"/>
      <c r="E980" s="38"/>
      <c r="F980" s="39"/>
      <c r="K980" s="5"/>
      <c r="L980" s="5"/>
      <c r="M980" s="5"/>
      <c r="N980" s="5"/>
      <c r="O980" s="5"/>
      <c r="P980" s="5"/>
    </row>
    <row r="981" spans="2:16" s="8" customFormat="1" ht="16.5" hidden="1">
      <c r="B981" s="37"/>
      <c r="C981" s="37"/>
      <c r="D981" s="38"/>
      <c r="E981" s="38"/>
      <c r="F981" s="39"/>
      <c r="K981" s="5"/>
      <c r="L981" s="5"/>
      <c r="M981" s="5"/>
      <c r="N981" s="5"/>
      <c r="O981" s="5"/>
      <c r="P981" s="5"/>
    </row>
    <row r="982" spans="2:16" s="8" customFormat="1" ht="16.5" hidden="1">
      <c r="B982" s="37"/>
      <c r="C982" s="37"/>
      <c r="D982" s="38"/>
      <c r="E982" s="38"/>
      <c r="F982" s="39"/>
      <c r="K982" s="5"/>
      <c r="L982" s="5"/>
      <c r="M982" s="5"/>
      <c r="N982" s="5"/>
      <c r="O982" s="5"/>
      <c r="P982" s="5"/>
    </row>
    <row r="983" spans="2:16" s="8" customFormat="1" ht="16.5" hidden="1">
      <c r="B983" s="37"/>
      <c r="C983" s="37"/>
      <c r="D983" s="38"/>
      <c r="E983" s="38"/>
      <c r="F983" s="39"/>
      <c r="K983" s="5"/>
      <c r="L983" s="5"/>
      <c r="M983" s="5"/>
      <c r="N983" s="5"/>
      <c r="O983" s="5"/>
      <c r="P983" s="5"/>
    </row>
    <row r="984" spans="2:16" s="8" customFormat="1" ht="16.5" hidden="1">
      <c r="B984" s="37"/>
      <c r="C984" s="37"/>
      <c r="D984" s="38"/>
      <c r="E984" s="38"/>
      <c r="F984" s="39"/>
      <c r="K984" s="5"/>
      <c r="L984" s="5"/>
      <c r="M984" s="5"/>
      <c r="N984" s="5"/>
      <c r="O984" s="5"/>
      <c r="P984" s="5"/>
    </row>
    <row r="985" spans="2:16" s="8" customFormat="1" ht="16.5" hidden="1">
      <c r="B985" s="37"/>
      <c r="C985" s="37"/>
      <c r="D985" s="38"/>
      <c r="E985" s="38"/>
      <c r="F985" s="39"/>
      <c r="K985" s="5"/>
      <c r="L985" s="5"/>
      <c r="M985" s="5"/>
      <c r="N985" s="5"/>
      <c r="O985" s="5"/>
      <c r="P985" s="5"/>
    </row>
    <row r="986" spans="2:16" s="8" customFormat="1" ht="16.5" hidden="1">
      <c r="B986" s="37"/>
      <c r="C986" s="37"/>
      <c r="D986" s="38"/>
      <c r="E986" s="38"/>
      <c r="F986" s="39"/>
      <c r="K986" s="5"/>
      <c r="L986" s="5"/>
      <c r="M986" s="5"/>
      <c r="N986" s="5"/>
      <c r="O986" s="5"/>
      <c r="P986" s="5"/>
    </row>
    <row r="987" spans="2:16" s="8" customFormat="1" ht="16.5" hidden="1">
      <c r="B987" s="37"/>
      <c r="C987" s="37"/>
      <c r="D987" s="38"/>
      <c r="E987" s="38"/>
      <c r="F987" s="39"/>
      <c r="K987" s="5"/>
      <c r="L987" s="5"/>
      <c r="M987" s="5"/>
      <c r="N987" s="5"/>
      <c r="O987" s="5"/>
      <c r="P987" s="5"/>
    </row>
    <row r="988" spans="2:16" s="8" customFormat="1" ht="16.5" hidden="1">
      <c r="B988" s="37"/>
      <c r="C988" s="37"/>
      <c r="D988" s="38"/>
      <c r="E988" s="38"/>
      <c r="F988" s="39"/>
      <c r="K988" s="5"/>
      <c r="L988" s="5"/>
      <c r="M988" s="5"/>
      <c r="N988" s="5"/>
      <c r="O988" s="5"/>
      <c r="P988" s="5"/>
    </row>
    <row r="989" spans="2:16" s="8" customFormat="1" ht="16.5" hidden="1">
      <c r="B989" s="37"/>
      <c r="C989" s="37"/>
      <c r="D989" s="38"/>
      <c r="E989" s="38"/>
      <c r="F989" s="39"/>
      <c r="K989" s="5"/>
      <c r="L989" s="5"/>
      <c r="M989" s="5"/>
      <c r="N989" s="5"/>
      <c r="O989" s="5"/>
      <c r="P989" s="5"/>
    </row>
    <row r="990" spans="2:16" s="8" customFormat="1" ht="16.5" hidden="1">
      <c r="B990" s="37"/>
      <c r="C990" s="37"/>
      <c r="D990" s="38"/>
      <c r="E990" s="38"/>
      <c r="F990" s="39"/>
      <c r="K990" s="5"/>
      <c r="L990" s="5"/>
      <c r="M990" s="5"/>
      <c r="N990" s="5"/>
      <c r="O990" s="5"/>
      <c r="P990" s="5"/>
    </row>
    <row r="991" spans="2:16" s="8" customFormat="1" ht="16.5" hidden="1">
      <c r="B991" s="37"/>
      <c r="C991" s="37"/>
      <c r="D991" s="38"/>
      <c r="E991" s="38"/>
      <c r="F991" s="39"/>
      <c r="K991" s="5"/>
      <c r="L991" s="5"/>
      <c r="M991" s="5"/>
      <c r="N991" s="5"/>
      <c r="O991" s="5"/>
      <c r="P991" s="5"/>
    </row>
    <row r="992" spans="2:16" s="8" customFormat="1" ht="16.5" hidden="1">
      <c r="B992" s="37"/>
      <c r="C992" s="37"/>
      <c r="D992" s="38"/>
      <c r="E992" s="38"/>
      <c r="F992" s="39"/>
      <c r="K992" s="5"/>
      <c r="L992" s="5"/>
      <c r="M992" s="5"/>
      <c r="N992" s="5"/>
      <c r="O992" s="5"/>
      <c r="P992" s="5"/>
    </row>
    <row r="993" spans="2:16" s="8" customFormat="1" ht="16.5" hidden="1">
      <c r="B993" s="37"/>
      <c r="C993" s="37"/>
      <c r="D993" s="38"/>
      <c r="E993" s="38"/>
      <c r="F993" s="39"/>
      <c r="K993" s="5"/>
      <c r="L993" s="5"/>
      <c r="M993" s="5"/>
      <c r="N993" s="5"/>
      <c r="O993" s="5"/>
      <c r="P993" s="5"/>
    </row>
    <row r="994" spans="2:16" s="8" customFormat="1" ht="16.5" hidden="1">
      <c r="B994" s="37"/>
      <c r="C994" s="37"/>
      <c r="D994" s="38"/>
      <c r="E994" s="38"/>
      <c r="F994" s="39"/>
      <c r="K994" s="5"/>
      <c r="L994" s="5"/>
      <c r="M994" s="5"/>
      <c r="N994" s="5"/>
      <c r="O994" s="5"/>
      <c r="P994" s="5"/>
    </row>
    <row r="995" spans="2:16" s="8" customFormat="1" ht="16.5" hidden="1">
      <c r="B995" s="37"/>
      <c r="C995" s="37"/>
      <c r="D995" s="38"/>
      <c r="E995" s="38"/>
      <c r="F995" s="39"/>
      <c r="K995" s="5"/>
      <c r="L995" s="5"/>
      <c r="M995" s="5"/>
      <c r="N995" s="5"/>
      <c r="O995" s="5"/>
      <c r="P995" s="5"/>
    </row>
    <row r="996" spans="2:16" s="8" customFormat="1" ht="16.5" hidden="1">
      <c r="B996" s="37"/>
      <c r="C996" s="37"/>
      <c r="D996" s="38"/>
      <c r="E996" s="38"/>
      <c r="F996" s="39"/>
      <c r="K996" s="5"/>
      <c r="L996" s="5"/>
      <c r="M996" s="5"/>
      <c r="N996" s="5"/>
      <c r="O996" s="5"/>
      <c r="P996" s="5"/>
    </row>
    <row r="997" spans="2:16" s="8" customFormat="1" ht="16.5" hidden="1">
      <c r="B997" s="37"/>
      <c r="C997" s="37"/>
      <c r="D997" s="38"/>
      <c r="E997" s="38"/>
      <c r="F997" s="39"/>
      <c r="K997" s="5"/>
      <c r="L997" s="5"/>
      <c r="M997" s="5"/>
      <c r="N997" s="5"/>
      <c r="O997" s="5"/>
      <c r="P997" s="5"/>
    </row>
    <row r="998" spans="2:16" s="8" customFormat="1" ht="16.5" hidden="1">
      <c r="B998" s="37"/>
      <c r="C998" s="37"/>
      <c r="D998" s="38"/>
      <c r="E998" s="38"/>
      <c r="F998" s="39"/>
      <c r="K998" s="5"/>
      <c r="L998" s="5"/>
      <c r="M998" s="5"/>
      <c r="N998" s="5"/>
      <c r="O998" s="5"/>
      <c r="P998" s="5"/>
    </row>
    <row r="999" spans="2:16" s="8" customFormat="1" ht="16.5" hidden="1">
      <c r="B999" s="37"/>
      <c r="C999" s="37"/>
      <c r="D999" s="38"/>
      <c r="E999" s="38"/>
      <c r="F999" s="39"/>
      <c r="K999" s="5"/>
      <c r="L999" s="5"/>
      <c r="M999" s="5"/>
      <c r="N999" s="5"/>
      <c r="O999" s="5"/>
      <c r="P999" s="5"/>
    </row>
    <row r="1000" spans="2:16" s="8" customFormat="1" ht="16.5" hidden="1">
      <c r="B1000" s="37"/>
      <c r="C1000" s="37"/>
      <c r="D1000" s="38"/>
      <c r="E1000" s="38"/>
      <c r="F1000" s="39"/>
      <c r="K1000" s="5"/>
      <c r="L1000" s="5"/>
      <c r="M1000" s="5"/>
      <c r="N1000" s="5"/>
      <c r="O1000" s="5"/>
      <c r="P1000" s="5"/>
    </row>
    <row r="1001" spans="2:16" s="8" customFormat="1" ht="16.5" hidden="1">
      <c r="B1001" s="37"/>
      <c r="C1001" s="37"/>
      <c r="D1001" s="38"/>
      <c r="E1001" s="38"/>
      <c r="F1001" s="39"/>
      <c r="K1001" s="5"/>
      <c r="L1001" s="5"/>
      <c r="M1001" s="5"/>
      <c r="N1001" s="5"/>
      <c r="O1001" s="5"/>
      <c r="P1001" s="5"/>
    </row>
    <row r="1002" spans="2:16" s="8" customFormat="1" ht="16.5" hidden="1">
      <c r="B1002" s="37"/>
      <c r="C1002" s="37"/>
      <c r="D1002" s="38"/>
      <c r="E1002" s="38"/>
      <c r="F1002" s="39"/>
      <c r="K1002" s="5"/>
      <c r="L1002" s="5"/>
      <c r="M1002" s="5"/>
      <c r="N1002" s="5"/>
      <c r="O1002" s="5"/>
      <c r="P1002" s="5"/>
    </row>
    <row r="1003" spans="2:16" s="8" customFormat="1" ht="16.5" hidden="1">
      <c r="B1003" s="37"/>
      <c r="C1003" s="37"/>
      <c r="D1003" s="38"/>
      <c r="E1003" s="38"/>
      <c r="F1003" s="39"/>
      <c r="K1003" s="5"/>
      <c r="L1003" s="5"/>
      <c r="M1003" s="5"/>
      <c r="N1003" s="5"/>
      <c r="O1003" s="5"/>
      <c r="P1003" s="5"/>
    </row>
    <row r="1004" spans="2:16" s="8" customFormat="1" ht="16.5" hidden="1">
      <c r="B1004" s="37"/>
      <c r="C1004" s="37"/>
      <c r="D1004" s="38"/>
      <c r="E1004" s="38"/>
      <c r="F1004" s="39"/>
      <c r="K1004" s="5"/>
      <c r="L1004" s="5"/>
      <c r="M1004" s="5"/>
      <c r="N1004" s="5"/>
      <c r="O1004" s="5"/>
      <c r="P1004" s="5"/>
    </row>
    <row r="1005" spans="2:16" s="8" customFormat="1" ht="16.5" hidden="1">
      <c r="B1005" s="37"/>
      <c r="C1005" s="37"/>
      <c r="D1005" s="38"/>
      <c r="E1005" s="38"/>
      <c r="F1005" s="39"/>
      <c r="K1005" s="5"/>
      <c r="L1005" s="5"/>
      <c r="M1005" s="5"/>
      <c r="N1005" s="5"/>
      <c r="O1005" s="5"/>
      <c r="P1005" s="5"/>
    </row>
    <row r="1006" spans="2:16" s="8" customFormat="1" ht="16.5" hidden="1">
      <c r="B1006" s="37"/>
      <c r="C1006" s="37"/>
      <c r="D1006" s="38"/>
      <c r="E1006" s="38"/>
      <c r="F1006" s="39"/>
      <c r="K1006" s="5"/>
      <c r="L1006" s="5"/>
      <c r="M1006" s="5"/>
      <c r="N1006" s="5"/>
      <c r="O1006" s="5"/>
      <c r="P1006" s="5"/>
    </row>
    <row r="1007" spans="2:16" s="8" customFormat="1" ht="16.5" hidden="1">
      <c r="B1007" s="37"/>
      <c r="C1007" s="37"/>
      <c r="D1007" s="38"/>
      <c r="E1007" s="38"/>
      <c r="F1007" s="39"/>
      <c r="K1007" s="5"/>
      <c r="L1007" s="5"/>
      <c r="M1007" s="5"/>
      <c r="N1007" s="5"/>
      <c r="O1007" s="5"/>
      <c r="P1007" s="5"/>
    </row>
    <row r="1008" spans="2:16" s="8" customFormat="1" ht="16.5" hidden="1">
      <c r="B1008" s="37"/>
      <c r="C1008" s="37"/>
      <c r="D1008" s="38"/>
      <c r="E1008" s="38"/>
      <c r="F1008" s="39"/>
      <c r="K1008" s="5"/>
      <c r="L1008" s="5"/>
      <c r="M1008" s="5"/>
      <c r="N1008" s="5"/>
      <c r="O1008" s="5"/>
      <c r="P1008" s="5"/>
    </row>
    <row r="1009" spans="2:16" s="8" customFormat="1" ht="16.5" hidden="1">
      <c r="B1009" s="37"/>
      <c r="C1009" s="37"/>
      <c r="D1009" s="38"/>
      <c r="E1009" s="38"/>
      <c r="F1009" s="39"/>
      <c r="K1009" s="5"/>
      <c r="L1009" s="5"/>
      <c r="M1009" s="5"/>
      <c r="N1009" s="5"/>
      <c r="O1009" s="5"/>
      <c r="P1009" s="5"/>
    </row>
    <row r="1010" spans="2:16" s="8" customFormat="1" ht="16.5" hidden="1">
      <c r="B1010" s="37"/>
      <c r="C1010" s="37"/>
      <c r="D1010" s="38"/>
      <c r="E1010" s="38"/>
      <c r="F1010" s="39"/>
      <c r="K1010" s="5"/>
      <c r="L1010" s="5"/>
      <c r="M1010" s="5"/>
      <c r="N1010" s="5"/>
      <c r="O1010" s="5"/>
      <c r="P1010" s="5"/>
    </row>
    <row r="1011" spans="2:16" s="8" customFormat="1" ht="16.5" hidden="1">
      <c r="B1011" s="37"/>
      <c r="C1011" s="37"/>
      <c r="D1011" s="38"/>
      <c r="E1011" s="38"/>
      <c r="F1011" s="39"/>
      <c r="K1011" s="5"/>
      <c r="L1011" s="5"/>
      <c r="M1011" s="5"/>
      <c r="N1011" s="5"/>
      <c r="O1011" s="5"/>
      <c r="P1011" s="5"/>
    </row>
    <row r="1012" spans="2:16" s="8" customFormat="1" ht="16.5" hidden="1">
      <c r="B1012" s="37"/>
      <c r="C1012" s="37"/>
      <c r="D1012" s="38"/>
      <c r="E1012" s="38"/>
      <c r="F1012" s="39"/>
      <c r="K1012" s="5"/>
      <c r="L1012" s="5"/>
      <c r="M1012" s="5"/>
      <c r="N1012" s="5"/>
      <c r="O1012" s="5"/>
      <c r="P1012" s="5"/>
    </row>
    <row r="1013" spans="2:16" s="8" customFormat="1" ht="16.5" hidden="1">
      <c r="B1013" s="37"/>
      <c r="C1013" s="37"/>
      <c r="D1013" s="38"/>
      <c r="E1013" s="38"/>
      <c r="F1013" s="39"/>
      <c r="K1013" s="5"/>
      <c r="L1013" s="5"/>
      <c r="M1013" s="5"/>
      <c r="N1013" s="5"/>
      <c r="O1013" s="5"/>
      <c r="P1013" s="5"/>
    </row>
    <row r="1014" spans="2:16" s="8" customFormat="1" ht="16.5" hidden="1">
      <c r="B1014" s="37"/>
      <c r="C1014" s="37"/>
      <c r="D1014" s="38"/>
      <c r="E1014" s="38"/>
      <c r="F1014" s="39"/>
      <c r="K1014" s="5"/>
      <c r="L1014" s="5"/>
      <c r="M1014" s="5"/>
      <c r="N1014" s="5"/>
      <c r="O1014" s="5"/>
      <c r="P1014" s="5"/>
    </row>
    <row r="1015" spans="2:16" s="8" customFormat="1" ht="16.5" hidden="1">
      <c r="B1015" s="37"/>
      <c r="C1015" s="37"/>
      <c r="D1015" s="38"/>
      <c r="E1015" s="38"/>
      <c r="F1015" s="39"/>
      <c r="K1015" s="5"/>
      <c r="L1015" s="5"/>
      <c r="M1015" s="5"/>
      <c r="N1015" s="5"/>
      <c r="O1015" s="5"/>
      <c r="P1015" s="5"/>
    </row>
    <row r="1016" spans="2:16" s="8" customFormat="1" ht="16.5" hidden="1">
      <c r="B1016" s="37"/>
      <c r="C1016" s="37"/>
      <c r="D1016" s="38"/>
      <c r="E1016" s="38"/>
      <c r="F1016" s="39"/>
      <c r="K1016" s="5"/>
      <c r="L1016" s="5"/>
      <c r="M1016" s="5"/>
      <c r="N1016" s="5"/>
      <c r="O1016" s="5"/>
      <c r="P1016" s="5"/>
    </row>
    <row r="1017" spans="2:16" s="8" customFormat="1" ht="16.5" hidden="1">
      <c r="B1017" s="37"/>
      <c r="C1017" s="37"/>
      <c r="D1017" s="38"/>
      <c r="E1017" s="38"/>
      <c r="F1017" s="39"/>
      <c r="K1017" s="5"/>
      <c r="L1017" s="5"/>
      <c r="M1017" s="5"/>
      <c r="N1017" s="5"/>
      <c r="O1017" s="5"/>
      <c r="P1017" s="5"/>
    </row>
    <row r="1018" spans="2:16" s="8" customFormat="1" ht="16.5" hidden="1">
      <c r="B1018" s="37"/>
      <c r="C1018" s="37"/>
      <c r="D1018" s="38"/>
      <c r="E1018" s="38"/>
      <c r="F1018" s="39"/>
      <c r="K1018" s="5"/>
      <c r="L1018" s="5"/>
      <c r="M1018" s="5"/>
      <c r="N1018" s="5"/>
      <c r="O1018" s="5"/>
      <c r="P1018" s="5"/>
    </row>
    <row r="1019" spans="2:16" s="8" customFormat="1" ht="16.5" hidden="1">
      <c r="B1019" s="37"/>
      <c r="C1019" s="37"/>
      <c r="D1019" s="38"/>
      <c r="E1019" s="38"/>
      <c r="F1019" s="39"/>
      <c r="K1019" s="5"/>
      <c r="L1019" s="5"/>
      <c r="M1019" s="5"/>
      <c r="N1019" s="5"/>
      <c r="O1019" s="5"/>
      <c r="P1019" s="5"/>
    </row>
    <row r="1020" spans="2:16" s="8" customFormat="1" ht="16.5" hidden="1">
      <c r="B1020" s="37"/>
      <c r="C1020" s="37"/>
      <c r="D1020" s="38"/>
      <c r="E1020" s="38"/>
      <c r="F1020" s="39"/>
      <c r="K1020" s="5"/>
      <c r="L1020" s="5"/>
      <c r="M1020" s="5"/>
      <c r="N1020" s="5"/>
      <c r="O1020" s="5"/>
      <c r="P1020" s="5"/>
    </row>
    <row r="1021" spans="2:16" s="8" customFormat="1" ht="16.5" hidden="1">
      <c r="B1021" s="37"/>
      <c r="C1021" s="37"/>
      <c r="D1021" s="38"/>
      <c r="E1021" s="38"/>
      <c r="F1021" s="39"/>
      <c r="K1021" s="5"/>
      <c r="L1021" s="5"/>
      <c r="M1021" s="5"/>
      <c r="N1021" s="5"/>
      <c r="O1021" s="5"/>
      <c r="P1021" s="5"/>
    </row>
    <row r="1022" spans="2:16" s="8" customFormat="1" ht="12.75" hidden="1" customHeight="1">
      <c r="B1022" s="37"/>
      <c r="C1022" s="37"/>
      <c r="D1022" s="38"/>
      <c r="E1022" s="38"/>
      <c r="F1022" s="39"/>
      <c r="K1022" s="5"/>
      <c r="L1022" s="5"/>
      <c r="M1022" s="5"/>
      <c r="N1022" s="5"/>
      <c r="O1022" s="5"/>
      <c r="P1022" s="5"/>
    </row>
    <row r="1023" spans="2:16" s="8" customFormat="1" ht="12.75" hidden="1" customHeight="1">
      <c r="B1023" s="37"/>
      <c r="C1023" s="37"/>
      <c r="D1023" s="38"/>
      <c r="E1023" s="38"/>
      <c r="F1023" s="39"/>
      <c r="K1023" s="5"/>
      <c r="L1023" s="5"/>
      <c r="M1023" s="5"/>
      <c r="N1023" s="5"/>
      <c r="O1023" s="5"/>
      <c r="P1023" s="5"/>
    </row>
    <row r="1024" spans="2:16" s="8" customFormat="1" ht="12.75" hidden="1" customHeight="1">
      <c r="B1024" s="37"/>
      <c r="C1024" s="37"/>
      <c r="D1024" s="38"/>
      <c r="E1024" s="38"/>
      <c r="F1024" s="39"/>
      <c r="K1024" s="5"/>
      <c r="L1024" s="5"/>
      <c r="M1024" s="5"/>
      <c r="N1024" s="5"/>
      <c r="O1024" s="5"/>
      <c r="P1024" s="5"/>
    </row>
    <row r="1025" spans="2:16" s="8" customFormat="1" ht="12.75" hidden="1" customHeight="1">
      <c r="B1025" s="37"/>
      <c r="C1025" s="37"/>
      <c r="D1025" s="38"/>
      <c r="E1025" s="38"/>
      <c r="F1025" s="39"/>
      <c r="K1025" s="5"/>
      <c r="L1025" s="5"/>
      <c r="M1025" s="5"/>
      <c r="N1025" s="5"/>
      <c r="O1025" s="5"/>
      <c r="P1025" s="5"/>
    </row>
    <row r="1026" spans="2:16" s="8" customFormat="1" ht="12.75" hidden="1" customHeight="1">
      <c r="B1026" s="37"/>
      <c r="C1026" s="37"/>
      <c r="D1026" s="38"/>
      <c r="E1026" s="38"/>
      <c r="F1026" s="39"/>
      <c r="K1026" s="5"/>
      <c r="L1026" s="5"/>
      <c r="M1026" s="5"/>
      <c r="N1026" s="5"/>
      <c r="O1026" s="5"/>
      <c r="P1026" s="5"/>
    </row>
    <row r="1027" spans="2:16" s="8" customFormat="1" ht="12.75" hidden="1" customHeight="1">
      <c r="B1027" s="37"/>
      <c r="C1027" s="37"/>
      <c r="D1027" s="38"/>
      <c r="E1027" s="38"/>
      <c r="F1027" s="39"/>
      <c r="K1027" s="5"/>
      <c r="L1027" s="5"/>
      <c r="M1027" s="5"/>
      <c r="N1027" s="5"/>
      <c r="O1027" s="5"/>
      <c r="P1027" s="5"/>
    </row>
    <row r="1028" spans="2:16" s="8" customFormat="1" ht="12.75" hidden="1" customHeight="1">
      <c r="B1028" s="37"/>
      <c r="C1028" s="37"/>
      <c r="D1028" s="38"/>
      <c r="E1028" s="38"/>
      <c r="F1028" s="39"/>
      <c r="K1028" s="5"/>
      <c r="L1028" s="5"/>
      <c r="M1028" s="5"/>
      <c r="N1028" s="5"/>
      <c r="O1028" s="5"/>
      <c r="P1028" s="5"/>
    </row>
    <row r="1029" spans="2:16" s="8" customFormat="1" ht="12.75" hidden="1" customHeight="1">
      <c r="B1029" s="37"/>
      <c r="C1029" s="37"/>
      <c r="D1029" s="38"/>
      <c r="E1029" s="38"/>
      <c r="F1029" s="39"/>
      <c r="K1029" s="5"/>
      <c r="L1029" s="5"/>
      <c r="M1029" s="5"/>
      <c r="N1029" s="5"/>
      <c r="O1029" s="5"/>
      <c r="P1029" s="5"/>
    </row>
    <row r="1030" spans="2:16" s="8" customFormat="1" ht="12.75" hidden="1" customHeight="1">
      <c r="B1030" s="37"/>
      <c r="C1030" s="37"/>
      <c r="D1030" s="38"/>
      <c r="E1030" s="38"/>
      <c r="F1030" s="39"/>
      <c r="K1030" s="5"/>
      <c r="L1030" s="5"/>
      <c r="M1030" s="5"/>
      <c r="N1030" s="5"/>
      <c r="O1030" s="5"/>
      <c r="P1030" s="5"/>
    </row>
    <row r="1031" spans="2:16" s="8" customFormat="1" ht="12.75" hidden="1" customHeight="1">
      <c r="B1031" s="37"/>
      <c r="C1031" s="37"/>
      <c r="D1031" s="38"/>
      <c r="E1031" s="38"/>
      <c r="F1031" s="39"/>
      <c r="K1031" s="5"/>
      <c r="L1031" s="5"/>
      <c r="M1031" s="5"/>
      <c r="N1031" s="5"/>
      <c r="O1031" s="5"/>
      <c r="P1031" s="5"/>
    </row>
    <row r="1032" spans="2:16" s="8" customFormat="1" ht="12.75" hidden="1" customHeight="1">
      <c r="B1032" s="37"/>
      <c r="C1032" s="37"/>
      <c r="D1032" s="38"/>
      <c r="E1032" s="38"/>
      <c r="F1032" s="39"/>
      <c r="K1032" s="5"/>
      <c r="L1032" s="5"/>
      <c r="M1032" s="5"/>
      <c r="N1032" s="5"/>
      <c r="O1032" s="5"/>
      <c r="P1032" s="5"/>
    </row>
    <row r="1033" spans="2:16" s="8" customFormat="1" ht="12.75" hidden="1" customHeight="1">
      <c r="B1033" s="37"/>
      <c r="C1033" s="37"/>
      <c r="D1033" s="38"/>
      <c r="E1033" s="38"/>
      <c r="F1033" s="39"/>
      <c r="K1033" s="5"/>
      <c r="L1033" s="5"/>
      <c r="M1033" s="5"/>
      <c r="N1033" s="5"/>
      <c r="O1033" s="5"/>
      <c r="P1033" s="5"/>
    </row>
    <row r="1034" spans="2:16" s="8" customFormat="1" ht="12.75" hidden="1" customHeight="1">
      <c r="B1034" s="37"/>
      <c r="C1034" s="37"/>
      <c r="D1034" s="38"/>
      <c r="E1034" s="38"/>
      <c r="F1034" s="39"/>
      <c r="K1034" s="5"/>
      <c r="L1034" s="5"/>
      <c r="M1034" s="5"/>
      <c r="N1034" s="5"/>
      <c r="O1034" s="5"/>
      <c r="P1034" s="5"/>
    </row>
    <row r="1035" spans="2:16" s="8" customFormat="1" ht="12.75" hidden="1" customHeight="1">
      <c r="B1035" s="37"/>
      <c r="C1035" s="37"/>
      <c r="D1035" s="38"/>
      <c r="E1035" s="38"/>
      <c r="F1035" s="39"/>
      <c r="K1035" s="5"/>
      <c r="L1035" s="5"/>
      <c r="M1035" s="5"/>
      <c r="N1035" s="5"/>
      <c r="O1035" s="5"/>
      <c r="P1035" s="5"/>
    </row>
    <row r="1036" spans="2:16" s="8" customFormat="1" ht="12.75" hidden="1" customHeight="1">
      <c r="B1036" s="37"/>
      <c r="C1036" s="37"/>
      <c r="D1036" s="38"/>
      <c r="E1036" s="38"/>
      <c r="F1036" s="39"/>
      <c r="K1036" s="5"/>
      <c r="L1036" s="5"/>
      <c r="M1036" s="5"/>
      <c r="N1036" s="5"/>
      <c r="O1036" s="5"/>
      <c r="P1036" s="5"/>
    </row>
    <row r="1037" spans="2:16" s="8" customFormat="1" ht="12.75" hidden="1" customHeight="1">
      <c r="B1037" s="37"/>
      <c r="C1037" s="37"/>
      <c r="D1037" s="38"/>
      <c r="E1037" s="38"/>
      <c r="F1037" s="39"/>
      <c r="K1037" s="5"/>
      <c r="L1037" s="5"/>
      <c r="M1037" s="5"/>
      <c r="N1037" s="5"/>
      <c r="O1037" s="5"/>
      <c r="P1037" s="5"/>
    </row>
    <row r="1038" spans="2:16" s="8" customFormat="1" ht="12.75" hidden="1" customHeight="1">
      <c r="B1038" s="37"/>
      <c r="C1038" s="37"/>
      <c r="D1038" s="38"/>
      <c r="E1038" s="38"/>
      <c r="F1038" s="39"/>
      <c r="K1038" s="5"/>
      <c r="L1038" s="5"/>
      <c r="M1038" s="5"/>
      <c r="N1038" s="5"/>
      <c r="O1038" s="5"/>
      <c r="P1038" s="5"/>
    </row>
    <row r="1039" spans="2:16" s="8" customFormat="1" ht="12.75" hidden="1" customHeight="1">
      <c r="B1039" s="37"/>
      <c r="C1039" s="37"/>
      <c r="D1039" s="38"/>
      <c r="E1039" s="38"/>
      <c r="F1039" s="39"/>
      <c r="K1039" s="5"/>
      <c r="L1039" s="5"/>
      <c r="M1039" s="5"/>
      <c r="N1039" s="5"/>
      <c r="O1039" s="5"/>
      <c r="P1039" s="5"/>
    </row>
    <row r="1040" spans="2:16" s="8" customFormat="1" ht="12.75" hidden="1" customHeight="1">
      <c r="B1040" s="37"/>
      <c r="C1040" s="37"/>
      <c r="D1040" s="38"/>
      <c r="E1040" s="38"/>
      <c r="F1040" s="39"/>
      <c r="K1040" s="5"/>
      <c r="L1040" s="5"/>
      <c r="M1040" s="5"/>
      <c r="N1040" s="5"/>
      <c r="O1040" s="5"/>
      <c r="P1040" s="5"/>
    </row>
    <row r="1041" spans="2:16" s="8" customFormat="1" ht="12.75" hidden="1" customHeight="1">
      <c r="B1041" s="37"/>
      <c r="C1041" s="37"/>
      <c r="D1041" s="38"/>
      <c r="E1041" s="38"/>
      <c r="F1041" s="39"/>
      <c r="K1041" s="5"/>
      <c r="L1041" s="5"/>
      <c r="M1041" s="5"/>
      <c r="N1041" s="5"/>
      <c r="O1041" s="5"/>
      <c r="P1041" s="5"/>
    </row>
    <row r="1042" spans="2:16" s="8" customFormat="1" ht="12.75" hidden="1" customHeight="1">
      <c r="B1042" s="37"/>
      <c r="C1042" s="37"/>
      <c r="D1042" s="38"/>
      <c r="E1042" s="38"/>
      <c r="F1042" s="39"/>
      <c r="K1042" s="5"/>
      <c r="L1042" s="5"/>
      <c r="M1042" s="5"/>
      <c r="N1042" s="5"/>
      <c r="O1042" s="5"/>
      <c r="P1042" s="5"/>
    </row>
    <row r="1043" spans="2:16" s="8" customFormat="1" ht="12.75" hidden="1" customHeight="1">
      <c r="B1043" s="37"/>
      <c r="C1043" s="37"/>
      <c r="D1043" s="38"/>
      <c r="E1043" s="38"/>
      <c r="F1043" s="39"/>
      <c r="K1043" s="5"/>
      <c r="L1043" s="5"/>
      <c r="M1043" s="5"/>
      <c r="N1043" s="5"/>
      <c r="O1043" s="5"/>
      <c r="P1043" s="5"/>
    </row>
    <row r="1044" spans="2:16" s="8" customFormat="1" ht="12.75" hidden="1" customHeight="1">
      <c r="B1044" s="37"/>
      <c r="C1044" s="37"/>
      <c r="D1044" s="38"/>
      <c r="E1044" s="38"/>
      <c r="F1044" s="39"/>
      <c r="K1044" s="5"/>
      <c r="L1044" s="5"/>
      <c r="M1044" s="5"/>
      <c r="N1044" s="5"/>
      <c r="O1044" s="5"/>
      <c r="P1044" s="5"/>
    </row>
    <row r="1045" spans="2:16" s="8" customFormat="1" ht="12.75" hidden="1" customHeight="1">
      <c r="B1045" s="37"/>
      <c r="C1045" s="37"/>
      <c r="D1045" s="38"/>
      <c r="E1045" s="38"/>
      <c r="F1045" s="39"/>
      <c r="K1045" s="5"/>
      <c r="L1045" s="5"/>
      <c r="M1045" s="5"/>
      <c r="N1045" s="5"/>
      <c r="O1045" s="5"/>
      <c r="P1045" s="5"/>
    </row>
    <row r="1046" spans="2:16" s="8" customFormat="1" ht="12.75" hidden="1" customHeight="1">
      <c r="B1046" s="37"/>
      <c r="C1046" s="37"/>
      <c r="D1046" s="38"/>
      <c r="E1046" s="38"/>
      <c r="F1046" s="39"/>
      <c r="K1046" s="5"/>
      <c r="L1046" s="5"/>
      <c r="M1046" s="5"/>
      <c r="N1046" s="5"/>
      <c r="O1046" s="5"/>
      <c r="P1046" s="5"/>
    </row>
    <row r="1047" spans="2:16" s="8" customFormat="1" ht="12.75" hidden="1" customHeight="1">
      <c r="B1047" s="37"/>
      <c r="C1047" s="37"/>
      <c r="D1047" s="38"/>
      <c r="E1047" s="38"/>
      <c r="F1047" s="39"/>
      <c r="K1047" s="5"/>
      <c r="L1047" s="5"/>
      <c r="M1047" s="5"/>
      <c r="N1047" s="5"/>
      <c r="O1047" s="5"/>
      <c r="P1047" s="5"/>
    </row>
    <row r="1048" spans="2:16" s="8" customFormat="1" ht="12.75" hidden="1" customHeight="1">
      <c r="B1048" s="37"/>
      <c r="C1048" s="37"/>
      <c r="D1048" s="38"/>
      <c r="E1048" s="38"/>
      <c r="F1048" s="39"/>
      <c r="K1048" s="5"/>
      <c r="L1048" s="5"/>
      <c r="M1048" s="5"/>
      <c r="N1048" s="5"/>
      <c r="O1048" s="5"/>
      <c r="P1048" s="5"/>
    </row>
    <row r="1049" spans="2:16" s="8" customFormat="1" ht="12.75" hidden="1" customHeight="1">
      <c r="B1049" s="37"/>
      <c r="C1049" s="37"/>
      <c r="D1049" s="38"/>
      <c r="E1049" s="38"/>
      <c r="F1049" s="39"/>
      <c r="K1049" s="5"/>
      <c r="L1049" s="5"/>
      <c r="M1049" s="5"/>
      <c r="N1049" s="5"/>
      <c r="O1049" s="5"/>
      <c r="P1049" s="5"/>
    </row>
    <row r="1050" spans="2:16" s="8" customFormat="1" ht="12.75" hidden="1" customHeight="1">
      <c r="B1050" s="37"/>
      <c r="C1050" s="37"/>
      <c r="D1050" s="38"/>
      <c r="E1050" s="38"/>
      <c r="F1050" s="39"/>
      <c r="K1050" s="5"/>
      <c r="L1050" s="5"/>
      <c r="M1050" s="5"/>
      <c r="N1050" s="5"/>
      <c r="O1050" s="5"/>
      <c r="P1050" s="5"/>
    </row>
    <row r="1051" spans="2:16" s="8" customFormat="1" ht="12.75" hidden="1" customHeight="1">
      <c r="B1051" s="37"/>
      <c r="C1051" s="37"/>
      <c r="D1051" s="38"/>
      <c r="E1051" s="38"/>
      <c r="F1051" s="39"/>
      <c r="K1051" s="5"/>
      <c r="L1051" s="5"/>
      <c r="M1051" s="5"/>
      <c r="N1051" s="5"/>
      <c r="O1051" s="5"/>
      <c r="P1051" s="5"/>
    </row>
    <row r="1052" spans="2:16" s="8" customFormat="1" ht="12.75" hidden="1" customHeight="1">
      <c r="B1052" s="37"/>
      <c r="C1052" s="37"/>
      <c r="D1052" s="38"/>
      <c r="E1052" s="38"/>
      <c r="F1052" s="39"/>
      <c r="K1052" s="5"/>
      <c r="L1052" s="5"/>
      <c r="M1052" s="5"/>
      <c r="N1052" s="5"/>
      <c r="O1052" s="5"/>
      <c r="P1052" s="5"/>
    </row>
    <row r="1053" spans="2:16" s="8" customFormat="1" ht="12.75" hidden="1" customHeight="1">
      <c r="B1053" s="37"/>
      <c r="C1053" s="37"/>
      <c r="D1053" s="38"/>
      <c r="E1053" s="38"/>
      <c r="F1053" s="39"/>
      <c r="K1053" s="5"/>
      <c r="L1053" s="5"/>
      <c r="M1053" s="5"/>
      <c r="N1053" s="5"/>
      <c r="O1053" s="5"/>
      <c r="P1053" s="5"/>
    </row>
    <row r="1054" spans="2:16" s="8" customFormat="1" ht="12.75" hidden="1" customHeight="1">
      <c r="B1054" s="37"/>
      <c r="C1054" s="37"/>
      <c r="D1054" s="38"/>
      <c r="E1054" s="38"/>
      <c r="F1054" s="39"/>
      <c r="K1054" s="5"/>
      <c r="L1054" s="5"/>
      <c r="M1054" s="5"/>
      <c r="N1054" s="5"/>
      <c r="O1054" s="5"/>
      <c r="P1054" s="5"/>
    </row>
    <row r="1055" spans="2:16" s="8" customFormat="1" ht="12.75" hidden="1" customHeight="1">
      <c r="B1055" s="37"/>
      <c r="C1055" s="37"/>
      <c r="D1055" s="38"/>
      <c r="E1055" s="38"/>
      <c r="F1055" s="39"/>
      <c r="K1055" s="5"/>
      <c r="L1055" s="5"/>
      <c r="M1055" s="5"/>
      <c r="N1055" s="5"/>
      <c r="O1055" s="5"/>
      <c r="P1055" s="5"/>
    </row>
    <row r="1056" spans="2:16" s="8" customFormat="1" ht="12.75" hidden="1" customHeight="1">
      <c r="B1056" s="37"/>
      <c r="C1056" s="37"/>
      <c r="D1056" s="38"/>
      <c r="E1056" s="38"/>
      <c r="F1056" s="39"/>
      <c r="K1056" s="5"/>
      <c r="L1056" s="5"/>
      <c r="M1056" s="5"/>
      <c r="N1056" s="5"/>
      <c r="O1056" s="5"/>
      <c r="P1056" s="5"/>
    </row>
    <row r="1057" spans="2:16" s="8" customFormat="1" ht="12.75" hidden="1" customHeight="1">
      <c r="B1057" s="37"/>
      <c r="C1057" s="37"/>
      <c r="D1057" s="38"/>
      <c r="E1057" s="38"/>
      <c r="F1057" s="39"/>
      <c r="K1057" s="5"/>
      <c r="L1057" s="5"/>
      <c r="M1057" s="5"/>
      <c r="N1057" s="5"/>
      <c r="O1057" s="5"/>
      <c r="P1057" s="5"/>
    </row>
    <row r="1058" spans="2:16" s="8" customFormat="1" ht="12.75" hidden="1" customHeight="1">
      <c r="B1058" s="37"/>
      <c r="C1058" s="37"/>
      <c r="D1058" s="38"/>
      <c r="E1058" s="38"/>
      <c r="F1058" s="39"/>
      <c r="K1058" s="5"/>
      <c r="L1058" s="5"/>
      <c r="M1058" s="5"/>
      <c r="N1058" s="5"/>
      <c r="O1058" s="5"/>
      <c r="P1058" s="5"/>
    </row>
    <row r="1059" spans="2:16" s="8" customFormat="1" ht="12.75" hidden="1" customHeight="1">
      <c r="B1059" s="37"/>
      <c r="C1059" s="37"/>
      <c r="D1059" s="38"/>
      <c r="E1059" s="38"/>
      <c r="F1059" s="39"/>
      <c r="K1059" s="5"/>
      <c r="L1059" s="5"/>
      <c r="M1059" s="5"/>
      <c r="N1059" s="5"/>
      <c r="O1059" s="5"/>
      <c r="P1059" s="5"/>
    </row>
    <row r="1060" spans="2:16" s="8" customFormat="1" ht="12.75" hidden="1" customHeight="1">
      <c r="B1060" s="37"/>
      <c r="C1060" s="37"/>
      <c r="D1060" s="38"/>
      <c r="E1060" s="38"/>
      <c r="F1060" s="39"/>
      <c r="K1060" s="5"/>
      <c r="L1060" s="5"/>
      <c r="M1060" s="5"/>
      <c r="N1060" s="5"/>
      <c r="O1060" s="5"/>
      <c r="P1060" s="5"/>
    </row>
    <row r="1061" spans="2:16" s="8" customFormat="1" ht="12.75" hidden="1" customHeight="1">
      <c r="B1061" s="37"/>
      <c r="C1061" s="37"/>
      <c r="D1061" s="38"/>
      <c r="E1061" s="38"/>
      <c r="F1061" s="39"/>
      <c r="K1061" s="5"/>
      <c r="L1061" s="5"/>
      <c r="M1061" s="5"/>
      <c r="N1061" s="5"/>
      <c r="O1061" s="5"/>
      <c r="P1061" s="5"/>
    </row>
    <row r="1062" spans="2:16" s="8" customFormat="1" ht="12.75" hidden="1" customHeight="1">
      <c r="B1062" s="37"/>
      <c r="C1062" s="37"/>
      <c r="D1062" s="38"/>
      <c r="E1062" s="38"/>
      <c r="F1062" s="39"/>
      <c r="K1062" s="5"/>
      <c r="L1062" s="5"/>
      <c r="M1062" s="5"/>
      <c r="N1062" s="5"/>
      <c r="O1062" s="5"/>
      <c r="P1062" s="5"/>
    </row>
    <row r="1063" spans="2:16" s="8" customFormat="1" ht="12.75" hidden="1" customHeight="1">
      <c r="B1063" s="37"/>
      <c r="C1063" s="37"/>
      <c r="D1063" s="38"/>
      <c r="E1063" s="38"/>
      <c r="F1063" s="39"/>
      <c r="K1063" s="5"/>
      <c r="L1063" s="5"/>
      <c r="M1063" s="5"/>
      <c r="N1063" s="5"/>
      <c r="O1063" s="5"/>
      <c r="P1063" s="5"/>
    </row>
    <row r="1064" spans="2:16" s="8" customFormat="1" ht="12.75" hidden="1" customHeight="1">
      <c r="B1064" s="37"/>
      <c r="C1064" s="37"/>
      <c r="D1064" s="38"/>
      <c r="E1064" s="38"/>
      <c r="F1064" s="39"/>
      <c r="K1064" s="5"/>
      <c r="L1064" s="5"/>
      <c r="M1064" s="5"/>
      <c r="N1064" s="5"/>
      <c r="O1064" s="5"/>
      <c r="P1064" s="5"/>
    </row>
    <row r="1065" spans="2:16" s="8" customFormat="1" ht="12.75" hidden="1" customHeight="1">
      <c r="B1065" s="37"/>
      <c r="C1065" s="37"/>
      <c r="D1065" s="38"/>
      <c r="E1065" s="38"/>
      <c r="F1065" s="39"/>
      <c r="K1065" s="5"/>
      <c r="L1065" s="5"/>
      <c r="M1065" s="5"/>
      <c r="N1065" s="5"/>
      <c r="O1065" s="5"/>
      <c r="P1065" s="5"/>
    </row>
    <row r="1066" spans="2:16" s="8" customFormat="1" ht="12.75" hidden="1" customHeight="1">
      <c r="B1066" s="37"/>
      <c r="C1066" s="37"/>
      <c r="D1066" s="38"/>
      <c r="E1066" s="38"/>
      <c r="F1066" s="39"/>
      <c r="K1066" s="5"/>
      <c r="L1066" s="5"/>
      <c r="M1066" s="5"/>
      <c r="N1066" s="5"/>
      <c r="O1066" s="5"/>
      <c r="P1066" s="5"/>
    </row>
    <row r="1067" spans="2:16" s="8" customFormat="1" ht="12.75" hidden="1" customHeight="1">
      <c r="B1067" s="37"/>
      <c r="C1067" s="37"/>
      <c r="D1067" s="38"/>
      <c r="E1067" s="38"/>
      <c r="F1067" s="39"/>
      <c r="K1067" s="5"/>
      <c r="L1067" s="5"/>
      <c r="M1067" s="5"/>
      <c r="N1067" s="5"/>
      <c r="O1067" s="5"/>
      <c r="P1067" s="5"/>
    </row>
    <row r="1068" spans="2:16" s="8" customFormat="1" ht="12.75" hidden="1" customHeight="1">
      <c r="B1068" s="37"/>
      <c r="C1068" s="37"/>
      <c r="D1068" s="38"/>
      <c r="E1068" s="38"/>
      <c r="F1068" s="39"/>
      <c r="K1068" s="5"/>
      <c r="L1068" s="5"/>
      <c r="M1068" s="5"/>
      <c r="N1068" s="5"/>
      <c r="O1068" s="5"/>
      <c r="P1068" s="5"/>
    </row>
    <row r="1069" spans="2:16" s="8" customFormat="1" ht="12.75" hidden="1" customHeight="1">
      <c r="B1069" s="37"/>
      <c r="C1069" s="37"/>
      <c r="D1069" s="38"/>
      <c r="E1069" s="38"/>
      <c r="F1069" s="39"/>
      <c r="K1069" s="5"/>
      <c r="L1069" s="5"/>
      <c r="M1069" s="5"/>
      <c r="N1069" s="5"/>
      <c r="O1069" s="5"/>
      <c r="P1069" s="5"/>
    </row>
    <row r="1070" spans="2:16" s="8" customFormat="1" ht="12.75" hidden="1" customHeight="1">
      <c r="B1070" s="37"/>
      <c r="C1070" s="37"/>
      <c r="D1070" s="38"/>
      <c r="E1070" s="38"/>
      <c r="F1070" s="39"/>
      <c r="K1070" s="5"/>
      <c r="L1070" s="5"/>
      <c r="M1070" s="5"/>
      <c r="N1070" s="5"/>
      <c r="O1070" s="5"/>
      <c r="P1070" s="5"/>
    </row>
    <row r="1071" spans="2:16" s="8" customFormat="1" ht="12.75" hidden="1" customHeight="1">
      <c r="B1071" s="37"/>
      <c r="C1071" s="37"/>
      <c r="D1071" s="38"/>
      <c r="E1071" s="38"/>
      <c r="F1071" s="39"/>
      <c r="K1071" s="5"/>
      <c r="L1071" s="5"/>
      <c r="M1071" s="5"/>
      <c r="N1071" s="5"/>
      <c r="O1071" s="5"/>
      <c r="P1071" s="5"/>
    </row>
    <row r="1072" spans="2:16" s="8" customFormat="1" ht="12.75" hidden="1" customHeight="1">
      <c r="B1072" s="37"/>
      <c r="C1072" s="37"/>
      <c r="D1072" s="38"/>
      <c r="E1072" s="38"/>
      <c r="F1072" s="39"/>
      <c r="K1072" s="5"/>
      <c r="L1072" s="5"/>
      <c r="M1072" s="5"/>
      <c r="N1072" s="5"/>
      <c r="O1072" s="5"/>
      <c r="P1072" s="5"/>
    </row>
    <row r="1073" spans="2:16" s="8" customFormat="1" ht="12.75" hidden="1" customHeight="1">
      <c r="B1073" s="37"/>
      <c r="C1073" s="37"/>
      <c r="D1073" s="38"/>
      <c r="E1073" s="38"/>
      <c r="F1073" s="39"/>
      <c r="K1073" s="5"/>
      <c r="L1073" s="5"/>
      <c r="M1073" s="5"/>
      <c r="N1073" s="5"/>
      <c r="O1073" s="5"/>
      <c r="P1073" s="5"/>
    </row>
    <row r="1074" spans="2:16" s="8" customFormat="1" ht="12.75" hidden="1" customHeight="1">
      <c r="B1074" s="37"/>
      <c r="C1074" s="37"/>
      <c r="D1074" s="38"/>
      <c r="E1074" s="38"/>
      <c r="F1074" s="39"/>
      <c r="K1074" s="5"/>
      <c r="L1074" s="5"/>
      <c r="M1074" s="5"/>
      <c r="N1074" s="5"/>
      <c r="O1074" s="5"/>
      <c r="P1074" s="5"/>
    </row>
    <row r="1075" spans="2:16" s="8" customFormat="1" ht="12.75" hidden="1" customHeight="1">
      <c r="B1075" s="37"/>
      <c r="C1075" s="37"/>
      <c r="D1075" s="38"/>
      <c r="E1075" s="38"/>
      <c r="F1075" s="39"/>
      <c r="K1075" s="5"/>
      <c r="L1075" s="5"/>
      <c r="M1075" s="5"/>
      <c r="N1075" s="5"/>
      <c r="O1075" s="5"/>
      <c r="P1075" s="5"/>
    </row>
    <row r="1076" spans="2:16" s="8" customFormat="1" ht="12.75" hidden="1" customHeight="1">
      <c r="B1076" s="37"/>
      <c r="C1076" s="37"/>
      <c r="D1076" s="38"/>
      <c r="E1076" s="38"/>
      <c r="F1076" s="39"/>
      <c r="K1076" s="5"/>
      <c r="L1076" s="5"/>
      <c r="M1076" s="5"/>
      <c r="N1076" s="5"/>
      <c r="O1076" s="5"/>
      <c r="P1076" s="5"/>
    </row>
    <row r="1077" spans="2:16" s="8" customFormat="1" ht="12.75" hidden="1" customHeight="1">
      <c r="B1077" s="37"/>
      <c r="C1077" s="37"/>
      <c r="D1077" s="38"/>
      <c r="E1077" s="38"/>
      <c r="F1077" s="39"/>
      <c r="K1077" s="5"/>
      <c r="L1077" s="5"/>
      <c r="M1077" s="5"/>
      <c r="N1077" s="5"/>
      <c r="O1077" s="5"/>
      <c r="P1077" s="5"/>
    </row>
    <row r="1078" spans="2:16" s="8" customFormat="1" ht="12.75" hidden="1" customHeight="1">
      <c r="B1078" s="37"/>
      <c r="C1078" s="37"/>
      <c r="D1078" s="38"/>
      <c r="E1078" s="38"/>
      <c r="F1078" s="39"/>
      <c r="K1078" s="5"/>
      <c r="L1078" s="5"/>
      <c r="M1078" s="5"/>
      <c r="N1078" s="5"/>
      <c r="O1078" s="5"/>
      <c r="P1078" s="5"/>
    </row>
    <row r="1079" spans="2:16" s="8" customFormat="1" ht="12.75" hidden="1" customHeight="1">
      <c r="B1079" s="37"/>
      <c r="C1079" s="37"/>
      <c r="D1079" s="38"/>
      <c r="E1079" s="38"/>
      <c r="F1079" s="39"/>
      <c r="K1079" s="5"/>
      <c r="L1079" s="5"/>
      <c r="M1079" s="5"/>
      <c r="N1079" s="5"/>
      <c r="O1079" s="5"/>
      <c r="P1079" s="5"/>
    </row>
    <row r="1080" spans="2:16" s="8" customFormat="1" ht="12.75" hidden="1" customHeight="1">
      <c r="B1080" s="37"/>
      <c r="C1080" s="37"/>
      <c r="D1080" s="38"/>
      <c r="E1080" s="38"/>
      <c r="F1080" s="39"/>
      <c r="K1080" s="5"/>
      <c r="L1080" s="5"/>
      <c r="M1080" s="5"/>
      <c r="N1080" s="5"/>
      <c r="O1080" s="5"/>
      <c r="P1080" s="5"/>
    </row>
    <row r="1081" spans="2:16" s="8" customFormat="1" ht="12.75" hidden="1" customHeight="1">
      <c r="B1081" s="37"/>
      <c r="C1081" s="37"/>
      <c r="D1081" s="38"/>
      <c r="E1081" s="38"/>
      <c r="F1081" s="39"/>
      <c r="K1081" s="5"/>
      <c r="L1081" s="5"/>
      <c r="M1081" s="5"/>
      <c r="N1081" s="5"/>
      <c r="O1081" s="5"/>
      <c r="P1081" s="5"/>
    </row>
    <row r="1082" spans="2:16" s="8" customFormat="1" ht="12.75" hidden="1" customHeight="1">
      <c r="B1082" s="37"/>
      <c r="C1082" s="37"/>
      <c r="D1082" s="38"/>
      <c r="E1082" s="38"/>
      <c r="F1082" s="39"/>
      <c r="K1082" s="5"/>
      <c r="L1082" s="5"/>
      <c r="M1082" s="5"/>
      <c r="N1082" s="5"/>
      <c r="O1082" s="5"/>
      <c r="P1082" s="5"/>
    </row>
    <row r="1083" spans="2:16" s="8" customFormat="1" ht="12.75" hidden="1" customHeight="1">
      <c r="B1083" s="37"/>
      <c r="C1083" s="37"/>
      <c r="D1083" s="38"/>
      <c r="E1083" s="38"/>
      <c r="F1083" s="39"/>
      <c r="K1083" s="5"/>
      <c r="L1083" s="5"/>
      <c r="M1083" s="5"/>
      <c r="N1083" s="5"/>
      <c r="O1083" s="5"/>
      <c r="P1083" s="5"/>
    </row>
    <row r="1084" spans="2:16" s="8" customFormat="1" ht="12.75" hidden="1" customHeight="1">
      <c r="B1084" s="37"/>
      <c r="C1084" s="37"/>
      <c r="D1084" s="38"/>
      <c r="E1084" s="38"/>
      <c r="F1084" s="39"/>
      <c r="K1084" s="5"/>
      <c r="L1084" s="5"/>
      <c r="M1084" s="5"/>
      <c r="N1084" s="5"/>
      <c r="O1084" s="5"/>
      <c r="P1084" s="5"/>
    </row>
    <row r="1085" spans="2:16" s="8" customFormat="1" ht="12.75" hidden="1" customHeight="1">
      <c r="B1085" s="37"/>
      <c r="C1085" s="37"/>
      <c r="D1085" s="38"/>
      <c r="E1085" s="38"/>
      <c r="F1085" s="39"/>
      <c r="K1085" s="5"/>
      <c r="L1085" s="5"/>
      <c r="M1085" s="5"/>
      <c r="N1085" s="5"/>
      <c r="O1085" s="5"/>
      <c r="P1085" s="5"/>
    </row>
    <row r="1086" spans="2:16" s="8" customFormat="1" ht="12.75" hidden="1" customHeight="1">
      <c r="B1086" s="37"/>
      <c r="C1086" s="37"/>
      <c r="D1086" s="38"/>
      <c r="E1086" s="38"/>
      <c r="F1086" s="39"/>
      <c r="K1086" s="5"/>
      <c r="L1086" s="5"/>
      <c r="M1086" s="5"/>
      <c r="N1086" s="5"/>
      <c r="O1086" s="5"/>
      <c r="P1086" s="5"/>
    </row>
    <row r="1087" spans="2:16" s="8" customFormat="1" ht="12.75" hidden="1" customHeight="1">
      <c r="B1087" s="37"/>
      <c r="C1087" s="37"/>
      <c r="D1087" s="38"/>
      <c r="E1087" s="38"/>
      <c r="F1087" s="39"/>
      <c r="K1087" s="5"/>
      <c r="L1087" s="5"/>
      <c r="M1087" s="5"/>
      <c r="N1087" s="5"/>
      <c r="O1087" s="5"/>
      <c r="P1087" s="5"/>
    </row>
    <row r="1088" spans="2:16" s="8" customFormat="1" ht="12.75" hidden="1" customHeight="1">
      <c r="B1088" s="37"/>
      <c r="C1088" s="37"/>
      <c r="D1088" s="38"/>
      <c r="E1088" s="38"/>
      <c r="F1088" s="39"/>
      <c r="K1088" s="5"/>
      <c r="L1088" s="5"/>
      <c r="M1088" s="5"/>
      <c r="N1088" s="5"/>
      <c r="O1088" s="5"/>
      <c r="P1088" s="5"/>
    </row>
    <row r="1089" spans="2:16" s="8" customFormat="1" ht="12.75" hidden="1" customHeight="1">
      <c r="B1089" s="37"/>
      <c r="C1089" s="37"/>
      <c r="D1089" s="38"/>
      <c r="E1089" s="38"/>
      <c r="F1089" s="39"/>
      <c r="K1089" s="5"/>
      <c r="L1089" s="5"/>
      <c r="M1089" s="5"/>
      <c r="N1089" s="5"/>
      <c r="O1089" s="5"/>
      <c r="P1089" s="5"/>
    </row>
    <row r="1090" spans="2:16" s="8" customFormat="1" ht="12.75" hidden="1" customHeight="1">
      <c r="B1090" s="37"/>
      <c r="C1090" s="37"/>
      <c r="D1090" s="38"/>
      <c r="E1090" s="38"/>
      <c r="F1090" s="39"/>
      <c r="K1090" s="5"/>
      <c r="L1090" s="5"/>
      <c r="M1090" s="5"/>
      <c r="N1090" s="5"/>
      <c r="O1090" s="5"/>
      <c r="P1090" s="5"/>
    </row>
    <row r="1091" spans="2:16" s="8" customFormat="1" ht="12.75" hidden="1" customHeight="1">
      <c r="B1091" s="37"/>
      <c r="C1091" s="37"/>
      <c r="D1091" s="38"/>
      <c r="E1091" s="38"/>
      <c r="F1091" s="39"/>
      <c r="K1091" s="5"/>
      <c r="L1091" s="5"/>
      <c r="M1091" s="5"/>
      <c r="N1091" s="5"/>
      <c r="O1091" s="5"/>
      <c r="P1091" s="5"/>
    </row>
    <row r="1092" spans="2:16" s="8" customFormat="1" ht="12.75" hidden="1" customHeight="1">
      <c r="B1092" s="37"/>
      <c r="C1092" s="37"/>
      <c r="D1092" s="38"/>
      <c r="E1092" s="38"/>
      <c r="F1092" s="39"/>
      <c r="K1092" s="5"/>
      <c r="L1092" s="5"/>
      <c r="M1092" s="5"/>
      <c r="N1092" s="5"/>
      <c r="O1092" s="5"/>
      <c r="P1092" s="5"/>
    </row>
    <row r="1093" spans="2:16" s="8" customFormat="1" ht="12.75" hidden="1" customHeight="1">
      <c r="B1093" s="37"/>
      <c r="C1093" s="37"/>
      <c r="D1093" s="38"/>
      <c r="E1093" s="38"/>
      <c r="F1093" s="39"/>
      <c r="K1093" s="5"/>
      <c r="L1093" s="5"/>
      <c r="M1093" s="5"/>
      <c r="N1093" s="5"/>
      <c r="O1093" s="5"/>
      <c r="P1093" s="5"/>
    </row>
    <row r="1094" spans="2:16" s="8" customFormat="1" ht="12.75" hidden="1" customHeight="1">
      <c r="B1094" s="37"/>
      <c r="C1094" s="37"/>
      <c r="D1094" s="38"/>
      <c r="E1094" s="38"/>
      <c r="F1094" s="39"/>
      <c r="K1094" s="5"/>
      <c r="L1094" s="5"/>
      <c r="M1094" s="5"/>
      <c r="N1094" s="5"/>
      <c r="O1094" s="5"/>
      <c r="P1094" s="5"/>
    </row>
    <row r="1095" spans="2:16" s="8" customFormat="1" ht="12.75" hidden="1" customHeight="1">
      <c r="B1095" s="37"/>
      <c r="C1095" s="37"/>
      <c r="D1095" s="38"/>
      <c r="E1095" s="38"/>
      <c r="F1095" s="39"/>
      <c r="K1095" s="5"/>
      <c r="L1095" s="5"/>
      <c r="M1095" s="5"/>
      <c r="N1095" s="5"/>
      <c r="O1095" s="5"/>
      <c r="P1095" s="5"/>
    </row>
    <row r="1096" spans="2:16" s="8" customFormat="1" ht="12.75" hidden="1" customHeight="1">
      <c r="B1096" s="37"/>
      <c r="C1096" s="37"/>
      <c r="D1096" s="38"/>
      <c r="E1096" s="38"/>
      <c r="F1096" s="39"/>
      <c r="K1096" s="5"/>
      <c r="L1096" s="5"/>
      <c r="M1096" s="5"/>
      <c r="N1096" s="5"/>
      <c r="O1096" s="5"/>
      <c r="P1096" s="5"/>
    </row>
    <row r="1097" spans="2:16" s="8" customFormat="1" ht="12.75" hidden="1" customHeight="1">
      <c r="B1097" s="37"/>
      <c r="C1097" s="37"/>
      <c r="D1097" s="38"/>
      <c r="E1097" s="38"/>
      <c r="F1097" s="39"/>
      <c r="K1097" s="5"/>
      <c r="L1097" s="5"/>
      <c r="M1097" s="5"/>
      <c r="N1097" s="5"/>
      <c r="O1097" s="5"/>
      <c r="P1097" s="5"/>
    </row>
    <row r="1098" spans="2:16" s="8" customFormat="1" ht="12.75" hidden="1" customHeight="1">
      <c r="B1098" s="37"/>
      <c r="C1098" s="37"/>
      <c r="D1098" s="38"/>
      <c r="E1098" s="38"/>
      <c r="F1098" s="39"/>
      <c r="K1098" s="5"/>
      <c r="L1098" s="5"/>
      <c r="M1098" s="5"/>
      <c r="N1098" s="5"/>
      <c r="O1098" s="5"/>
      <c r="P1098" s="5"/>
    </row>
    <row r="1099" spans="2:16" s="8" customFormat="1" ht="12.75" hidden="1" customHeight="1">
      <c r="B1099" s="37"/>
      <c r="C1099" s="37"/>
      <c r="D1099" s="38"/>
      <c r="E1099" s="38"/>
      <c r="F1099" s="39"/>
      <c r="K1099" s="5"/>
      <c r="L1099" s="5"/>
      <c r="M1099" s="5"/>
      <c r="N1099" s="5"/>
      <c r="O1099" s="5"/>
      <c r="P1099" s="5"/>
    </row>
    <row r="1100" spans="2:16" s="8" customFormat="1" ht="12.75" hidden="1" customHeight="1">
      <c r="B1100" s="37"/>
      <c r="C1100" s="37"/>
      <c r="D1100" s="38"/>
      <c r="E1100" s="38"/>
      <c r="F1100" s="39"/>
      <c r="K1100" s="5"/>
      <c r="L1100" s="5"/>
      <c r="M1100" s="5"/>
      <c r="N1100" s="5"/>
      <c r="O1100" s="5"/>
      <c r="P1100" s="5"/>
    </row>
    <row r="1101" spans="2:16" s="8" customFormat="1" ht="12.75" hidden="1" customHeight="1">
      <c r="B1101" s="37"/>
      <c r="C1101" s="37"/>
      <c r="D1101" s="38"/>
      <c r="E1101" s="38"/>
      <c r="F1101" s="39"/>
      <c r="K1101" s="5"/>
      <c r="L1101" s="5"/>
      <c r="M1101" s="5"/>
      <c r="N1101" s="5"/>
      <c r="O1101" s="5"/>
      <c r="P1101" s="5"/>
    </row>
    <row r="1102" spans="2:16" s="8" customFormat="1" ht="12.75" hidden="1" customHeight="1">
      <c r="B1102" s="37"/>
      <c r="C1102" s="37"/>
      <c r="D1102" s="38"/>
      <c r="E1102" s="38"/>
      <c r="F1102" s="39"/>
      <c r="K1102" s="5"/>
      <c r="L1102" s="5"/>
      <c r="M1102" s="5"/>
      <c r="N1102" s="5"/>
      <c r="O1102" s="5"/>
      <c r="P1102" s="5"/>
    </row>
    <row r="1103" spans="2:16" s="8" customFormat="1" ht="12.75" hidden="1" customHeight="1">
      <c r="B1103" s="37"/>
      <c r="C1103" s="37"/>
      <c r="D1103" s="38"/>
      <c r="E1103" s="38"/>
      <c r="F1103" s="39"/>
      <c r="K1103" s="5"/>
      <c r="L1103" s="5"/>
      <c r="M1103" s="5"/>
      <c r="N1103" s="5"/>
      <c r="O1103" s="5"/>
      <c r="P1103" s="5"/>
    </row>
    <row r="1104" spans="2:16" s="8" customFormat="1" ht="12.75" hidden="1" customHeight="1">
      <c r="B1104" s="37"/>
      <c r="C1104" s="37"/>
      <c r="D1104" s="38"/>
      <c r="E1104" s="38"/>
      <c r="F1104" s="39"/>
      <c r="K1104" s="5"/>
      <c r="L1104" s="5"/>
      <c r="M1104" s="5"/>
      <c r="N1104" s="5"/>
      <c r="O1104" s="5"/>
      <c r="P1104" s="5"/>
    </row>
    <row r="1105" spans="2:16" s="8" customFormat="1" ht="12.75" hidden="1" customHeight="1">
      <c r="B1105" s="37"/>
      <c r="C1105" s="37"/>
      <c r="D1105" s="38"/>
      <c r="E1105" s="38"/>
      <c r="F1105" s="39"/>
      <c r="K1105" s="5"/>
      <c r="L1105" s="5"/>
      <c r="M1105" s="5"/>
      <c r="N1105" s="5"/>
      <c r="O1105" s="5"/>
      <c r="P1105" s="5"/>
    </row>
    <row r="1106" spans="2:16" s="8" customFormat="1" ht="12.75" hidden="1" customHeight="1">
      <c r="B1106" s="37"/>
      <c r="C1106" s="37"/>
      <c r="D1106" s="38"/>
      <c r="E1106" s="38"/>
      <c r="F1106" s="39"/>
      <c r="K1106" s="5"/>
      <c r="L1106" s="5"/>
      <c r="M1106" s="5"/>
      <c r="N1106" s="5"/>
      <c r="O1106" s="5"/>
      <c r="P1106" s="5"/>
    </row>
    <row r="1107" spans="2:16" s="8" customFormat="1" ht="12.75" hidden="1" customHeight="1">
      <c r="B1107" s="37"/>
      <c r="C1107" s="37"/>
      <c r="D1107" s="38"/>
      <c r="E1107" s="38"/>
      <c r="F1107" s="39"/>
      <c r="K1107" s="5"/>
      <c r="L1107" s="5"/>
      <c r="M1107" s="5"/>
      <c r="N1107" s="5"/>
      <c r="O1107" s="5"/>
      <c r="P1107" s="5"/>
    </row>
    <row r="1108" spans="2:16" s="8" customFormat="1" ht="12.75" hidden="1" customHeight="1">
      <c r="B1108" s="37"/>
      <c r="C1108" s="37"/>
      <c r="D1108" s="38"/>
      <c r="E1108" s="38"/>
      <c r="F1108" s="39"/>
      <c r="K1108" s="5"/>
      <c r="L1108" s="5"/>
      <c r="M1108" s="5"/>
      <c r="N1108" s="5"/>
      <c r="O1108" s="5"/>
      <c r="P1108" s="5"/>
    </row>
    <row r="1109" spans="2:16" s="8" customFormat="1" ht="12.75" hidden="1" customHeight="1">
      <c r="B1109" s="37"/>
      <c r="C1109" s="37"/>
      <c r="D1109" s="38"/>
      <c r="E1109" s="38"/>
      <c r="F1109" s="39"/>
      <c r="K1109" s="5"/>
      <c r="L1109" s="5"/>
      <c r="M1109" s="5"/>
      <c r="N1109" s="5"/>
      <c r="O1109" s="5"/>
      <c r="P1109" s="5"/>
    </row>
    <row r="1110" spans="2:16" s="8" customFormat="1" ht="12.75" hidden="1" customHeight="1">
      <c r="B1110" s="37"/>
      <c r="C1110" s="37"/>
      <c r="D1110" s="38"/>
      <c r="E1110" s="38"/>
      <c r="F1110" s="39"/>
      <c r="K1110" s="5"/>
      <c r="L1110" s="5"/>
      <c r="M1110" s="5"/>
      <c r="N1110" s="5"/>
      <c r="O1110" s="5"/>
      <c r="P1110" s="5"/>
    </row>
    <row r="1111" spans="2:16" s="8" customFormat="1" ht="12.75" hidden="1" customHeight="1">
      <c r="B1111" s="37"/>
      <c r="C1111" s="37"/>
      <c r="D1111" s="38"/>
      <c r="E1111" s="38"/>
      <c r="F1111" s="39"/>
      <c r="K1111" s="5"/>
      <c r="L1111" s="5"/>
      <c r="M1111" s="5"/>
      <c r="N1111" s="5"/>
      <c r="O1111" s="5"/>
      <c r="P1111" s="5"/>
    </row>
    <row r="1112" spans="2:16" s="8" customFormat="1" ht="12.75" hidden="1" customHeight="1">
      <c r="B1112" s="37"/>
      <c r="C1112" s="37"/>
      <c r="D1112" s="38"/>
      <c r="E1112" s="38"/>
      <c r="F1112" s="39"/>
      <c r="K1112" s="5"/>
      <c r="L1112" s="5"/>
      <c r="M1112" s="5"/>
      <c r="N1112" s="5"/>
      <c r="O1112" s="5"/>
      <c r="P1112" s="5"/>
    </row>
    <row r="1113" spans="2:16" s="8" customFormat="1" ht="12.75" hidden="1" customHeight="1">
      <c r="B1113" s="37"/>
      <c r="C1113" s="37"/>
      <c r="D1113" s="38"/>
      <c r="E1113" s="38"/>
      <c r="F1113" s="39"/>
      <c r="K1113" s="5"/>
      <c r="L1113" s="5"/>
      <c r="M1113" s="5"/>
      <c r="N1113" s="5"/>
      <c r="O1113" s="5"/>
      <c r="P1113" s="5"/>
    </row>
    <row r="1114" spans="2:16" s="8" customFormat="1" ht="12.75" hidden="1" customHeight="1">
      <c r="B1114" s="37"/>
      <c r="C1114" s="37"/>
      <c r="D1114" s="38"/>
      <c r="E1114" s="38"/>
      <c r="F1114" s="39"/>
      <c r="K1114" s="5"/>
      <c r="L1114" s="5"/>
      <c r="M1114" s="5"/>
      <c r="N1114" s="5"/>
      <c r="O1114" s="5"/>
      <c r="P1114" s="5"/>
    </row>
    <row r="1115" spans="2:16" s="8" customFormat="1" ht="12.75" hidden="1" customHeight="1">
      <c r="B1115" s="37"/>
      <c r="C1115" s="37"/>
      <c r="D1115" s="38"/>
      <c r="E1115" s="38"/>
      <c r="F1115" s="39"/>
      <c r="K1115" s="5"/>
      <c r="L1115" s="5"/>
      <c r="M1115" s="5"/>
      <c r="N1115" s="5"/>
      <c r="O1115" s="5"/>
      <c r="P1115" s="5"/>
    </row>
    <row r="1116" spans="2:16" s="8" customFormat="1" ht="12.75" hidden="1" customHeight="1">
      <c r="B1116" s="37"/>
      <c r="C1116" s="37"/>
      <c r="D1116" s="38"/>
      <c r="E1116" s="38"/>
      <c r="F1116" s="39"/>
      <c r="K1116" s="5"/>
      <c r="L1116" s="5"/>
      <c r="M1116" s="5"/>
      <c r="N1116" s="5"/>
      <c r="O1116" s="5"/>
      <c r="P1116" s="5"/>
    </row>
    <row r="1117" spans="2:16" s="8" customFormat="1" ht="12.75" hidden="1" customHeight="1">
      <c r="B1117" s="37"/>
      <c r="C1117" s="37"/>
      <c r="D1117" s="38"/>
      <c r="E1117" s="38"/>
      <c r="F1117" s="39"/>
      <c r="K1117" s="5"/>
      <c r="L1117" s="5"/>
      <c r="M1117" s="5"/>
      <c r="N1117" s="5"/>
      <c r="O1117" s="5"/>
      <c r="P1117" s="5"/>
    </row>
    <row r="1118" spans="2:16" s="8" customFormat="1" ht="12.75" hidden="1" customHeight="1">
      <c r="B1118" s="37"/>
      <c r="C1118" s="37"/>
      <c r="D1118" s="38"/>
      <c r="E1118" s="38"/>
      <c r="F1118" s="39"/>
      <c r="K1118" s="5"/>
      <c r="L1118" s="5"/>
      <c r="M1118" s="5"/>
      <c r="N1118" s="5"/>
      <c r="O1118" s="5"/>
      <c r="P1118" s="5"/>
    </row>
    <row r="1119" spans="2:16" s="8" customFormat="1" ht="12.75" hidden="1" customHeight="1">
      <c r="B1119" s="37"/>
      <c r="C1119" s="37"/>
      <c r="D1119" s="38"/>
      <c r="E1119" s="38"/>
      <c r="F1119" s="39"/>
      <c r="K1119" s="5"/>
      <c r="L1119" s="5"/>
      <c r="M1119" s="5"/>
      <c r="N1119" s="5"/>
      <c r="O1119" s="5"/>
      <c r="P1119" s="5"/>
    </row>
    <row r="1120" spans="2:16" s="8" customFormat="1" ht="12.75" hidden="1" customHeight="1">
      <c r="B1120" s="37"/>
      <c r="C1120" s="37"/>
      <c r="D1120" s="38"/>
      <c r="E1120" s="38"/>
      <c r="F1120" s="39"/>
      <c r="K1120" s="5"/>
      <c r="L1120" s="5"/>
      <c r="M1120" s="5"/>
      <c r="N1120" s="5"/>
      <c r="O1120" s="5"/>
      <c r="P1120" s="5"/>
    </row>
    <row r="1121" spans="2:16" s="8" customFormat="1" ht="12.75" hidden="1" customHeight="1">
      <c r="B1121" s="37"/>
      <c r="C1121" s="37"/>
      <c r="D1121" s="38"/>
      <c r="E1121" s="38"/>
      <c r="F1121" s="39"/>
      <c r="K1121" s="5"/>
      <c r="L1121" s="5"/>
      <c r="M1121" s="5"/>
      <c r="N1121" s="5"/>
      <c r="O1121" s="5"/>
      <c r="P1121" s="5"/>
    </row>
    <row r="1122" spans="2:16" s="8" customFormat="1" ht="12.75" hidden="1" customHeight="1">
      <c r="B1122" s="37"/>
      <c r="C1122" s="37"/>
      <c r="D1122" s="38"/>
      <c r="E1122" s="38"/>
      <c r="F1122" s="39"/>
      <c r="K1122" s="5"/>
      <c r="L1122" s="5"/>
      <c r="M1122" s="5"/>
      <c r="N1122" s="5"/>
      <c r="O1122" s="5"/>
      <c r="P1122" s="5"/>
    </row>
    <row r="1123" spans="2:16" s="8" customFormat="1" ht="12.75" hidden="1" customHeight="1">
      <c r="B1123" s="37"/>
      <c r="C1123" s="37"/>
      <c r="D1123" s="38"/>
      <c r="E1123" s="38"/>
      <c r="F1123" s="39"/>
      <c r="K1123" s="5"/>
      <c r="L1123" s="5"/>
      <c r="M1123" s="5"/>
      <c r="N1123" s="5"/>
      <c r="O1123" s="5"/>
      <c r="P1123" s="5"/>
    </row>
    <row r="1124" spans="2:16" s="8" customFormat="1" ht="12.75" hidden="1" customHeight="1">
      <c r="B1124" s="37"/>
      <c r="C1124" s="37"/>
      <c r="D1124" s="38"/>
      <c r="E1124" s="38"/>
      <c r="F1124" s="39"/>
      <c r="K1124" s="5"/>
      <c r="L1124" s="5"/>
      <c r="M1124" s="5"/>
      <c r="N1124" s="5"/>
      <c r="O1124" s="5"/>
      <c r="P1124" s="5"/>
    </row>
    <row r="1125" spans="2:16" s="8" customFormat="1" ht="12.75" hidden="1" customHeight="1">
      <c r="B1125" s="37"/>
      <c r="C1125" s="37"/>
      <c r="D1125" s="38"/>
      <c r="E1125" s="38"/>
      <c r="F1125" s="39"/>
      <c r="K1125" s="5"/>
      <c r="L1125" s="5"/>
      <c r="M1125" s="5"/>
      <c r="N1125" s="5"/>
      <c r="O1125" s="5"/>
      <c r="P1125" s="5"/>
    </row>
    <row r="1126" spans="2:16" s="8" customFormat="1" ht="12.75" hidden="1" customHeight="1">
      <c r="B1126" s="37"/>
      <c r="C1126" s="37"/>
      <c r="D1126" s="38"/>
      <c r="E1126" s="38"/>
      <c r="F1126" s="39"/>
      <c r="K1126" s="5"/>
      <c r="L1126" s="5"/>
      <c r="M1126" s="5"/>
      <c r="N1126" s="5"/>
      <c r="O1126" s="5"/>
      <c r="P1126" s="5"/>
    </row>
    <row r="1127" spans="2:16" s="8" customFormat="1" ht="12.75" hidden="1" customHeight="1">
      <c r="B1127" s="37"/>
      <c r="C1127" s="37"/>
      <c r="D1127" s="38"/>
      <c r="E1127" s="38"/>
      <c r="F1127" s="39"/>
      <c r="K1127" s="5"/>
      <c r="L1127" s="5"/>
      <c r="M1127" s="5"/>
      <c r="N1127" s="5"/>
      <c r="O1127" s="5"/>
      <c r="P1127" s="5"/>
    </row>
    <row r="1128" spans="2:16" s="8" customFormat="1" ht="12.75" hidden="1" customHeight="1">
      <c r="B1128" s="37"/>
      <c r="C1128" s="37"/>
      <c r="D1128" s="38"/>
      <c r="E1128" s="38"/>
      <c r="F1128" s="39"/>
      <c r="K1128" s="5"/>
      <c r="L1128" s="5"/>
      <c r="M1128" s="5"/>
      <c r="N1128" s="5"/>
      <c r="O1128" s="5"/>
      <c r="P1128" s="5"/>
    </row>
    <row r="1129" spans="2:16" s="8" customFormat="1" ht="12.75" hidden="1" customHeight="1">
      <c r="B1129" s="37"/>
      <c r="C1129" s="37"/>
      <c r="D1129" s="38"/>
      <c r="E1129" s="38"/>
      <c r="F1129" s="39"/>
      <c r="K1129" s="5"/>
      <c r="L1129" s="5"/>
      <c r="M1129" s="5"/>
      <c r="N1129" s="5"/>
      <c r="O1129" s="5"/>
      <c r="P1129" s="5"/>
    </row>
    <row r="1130" spans="2:16" s="8" customFormat="1" ht="12.75" hidden="1" customHeight="1">
      <c r="B1130" s="37"/>
      <c r="C1130" s="37"/>
      <c r="D1130" s="38"/>
      <c r="E1130" s="38"/>
      <c r="F1130" s="39"/>
      <c r="K1130" s="5"/>
      <c r="L1130" s="5"/>
      <c r="M1130" s="5"/>
      <c r="N1130" s="5"/>
      <c r="O1130" s="5"/>
      <c r="P1130" s="5"/>
    </row>
    <row r="1131" spans="2:16" s="8" customFormat="1" ht="12.75" hidden="1" customHeight="1">
      <c r="B1131" s="37"/>
      <c r="C1131" s="37"/>
      <c r="D1131" s="38"/>
      <c r="E1131" s="38"/>
      <c r="F1131" s="39"/>
      <c r="K1131" s="5"/>
      <c r="L1131" s="5"/>
      <c r="M1131" s="5"/>
      <c r="N1131" s="5"/>
      <c r="O1131" s="5"/>
      <c r="P1131" s="5"/>
    </row>
    <row r="1132" spans="2:16" s="8" customFormat="1" ht="12.75" hidden="1" customHeight="1">
      <c r="B1132" s="37"/>
      <c r="C1132" s="37"/>
      <c r="D1132" s="38"/>
      <c r="E1132" s="38"/>
      <c r="F1132" s="39"/>
      <c r="K1132" s="5"/>
      <c r="L1132" s="5"/>
      <c r="M1132" s="5"/>
      <c r="N1132" s="5"/>
      <c r="O1132" s="5"/>
      <c r="P1132" s="5"/>
    </row>
    <row r="1133" spans="2:16" s="8" customFormat="1" ht="12.75" hidden="1" customHeight="1">
      <c r="B1133" s="37"/>
      <c r="C1133" s="37"/>
      <c r="D1133" s="38"/>
      <c r="E1133" s="38"/>
      <c r="F1133" s="39"/>
      <c r="K1133" s="5"/>
      <c r="L1133" s="5"/>
      <c r="M1133" s="5"/>
      <c r="N1133" s="5"/>
      <c r="O1133" s="5"/>
      <c r="P1133" s="5"/>
    </row>
    <row r="1134" spans="2:16" s="8" customFormat="1" ht="12.75" hidden="1" customHeight="1">
      <c r="B1134" s="37"/>
      <c r="C1134" s="37"/>
      <c r="D1134" s="38"/>
      <c r="E1134" s="38"/>
      <c r="F1134" s="39"/>
      <c r="K1134" s="5"/>
      <c r="L1134" s="5"/>
      <c r="M1134" s="5"/>
      <c r="N1134" s="5"/>
      <c r="O1134" s="5"/>
      <c r="P1134" s="5"/>
    </row>
    <row r="1135" spans="2:16" s="8" customFormat="1" ht="12.75" hidden="1" customHeight="1">
      <c r="B1135" s="37"/>
      <c r="C1135" s="37"/>
      <c r="D1135" s="38"/>
      <c r="E1135" s="38"/>
      <c r="F1135" s="39"/>
      <c r="K1135" s="5"/>
      <c r="L1135" s="5"/>
      <c r="M1135" s="5"/>
      <c r="N1135" s="5"/>
      <c r="O1135" s="5"/>
      <c r="P1135" s="5"/>
    </row>
    <row r="1136" spans="2:16" s="8" customFormat="1" ht="12.75" hidden="1" customHeight="1">
      <c r="B1136" s="37"/>
      <c r="C1136" s="37"/>
      <c r="D1136" s="38"/>
      <c r="E1136" s="38"/>
      <c r="F1136" s="39"/>
      <c r="K1136" s="5"/>
      <c r="L1136" s="5"/>
      <c r="M1136" s="5"/>
      <c r="N1136" s="5"/>
      <c r="O1136" s="5"/>
      <c r="P1136" s="5"/>
    </row>
    <row r="1137" spans="2:16" s="8" customFormat="1" ht="12.75" hidden="1" customHeight="1">
      <c r="B1137" s="37"/>
      <c r="C1137" s="37"/>
      <c r="D1137" s="38"/>
      <c r="E1137" s="38"/>
      <c r="F1137" s="39"/>
      <c r="K1137" s="5"/>
      <c r="L1137" s="5"/>
      <c r="M1137" s="5"/>
      <c r="N1137" s="5"/>
      <c r="O1137" s="5"/>
      <c r="P1137" s="5"/>
    </row>
    <row r="1138" spans="2:16" s="8" customFormat="1" ht="12.75" hidden="1" customHeight="1">
      <c r="B1138" s="37"/>
      <c r="C1138" s="37"/>
      <c r="D1138" s="38"/>
      <c r="E1138" s="38"/>
      <c r="F1138" s="39"/>
      <c r="K1138" s="5"/>
      <c r="L1138" s="5"/>
      <c r="M1138" s="5"/>
      <c r="N1138" s="5"/>
      <c r="O1138" s="5"/>
      <c r="P1138" s="5"/>
    </row>
    <row r="1139" spans="2:16" s="8" customFormat="1" ht="12.75" hidden="1" customHeight="1">
      <c r="B1139" s="37"/>
      <c r="C1139" s="37"/>
      <c r="D1139" s="38"/>
      <c r="E1139" s="38"/>
      <c r="F1139" s="39"/>
      <c r="K1139" s="5"/>
      <c r="L1139" s="5"/>
      <c r="M1139" s="5"/>
      <c r="N1139" s="5"/>
      <c r="O1139" s="5"/>
      <c r="P1139" s="5"/>
    </row>
    <row r="1140" spans="2:16" s="8" customFormat="1" ht="12.75" hidden="1" customHeight="1">
      <c r="B1140" s="37"/>
      <c r="C1140" s="37"/>
      <c r="D1140" s="38"/>
      <c r="E1140" s="38"/>
      <c r="F1140" s="39"/>
      <c r="K1140" s="5"/>
      <c r="L1140" s="5"/>
      <c r="M1140" s="5"/>
      <c r="N1140" s="5"/>
      <c r="O1140" s="5"/>
      <c r="P1140" s="5"/>
    </row>
    <row r="1141" spans="2:16" s="8" customFormat="1" ht="12.75" hidden="1" customHeight="1">
      <c r="B1141" s="37"/>
      <c r="C1141" s="37"/>
      <c r="D1141" s="38"/>
      <c r="E1141" s="38"/>
      <c r="F1141" s="39"/>
      <c r="K1141" s="5"/>
      <c r="L1141" s="5"/>
      <c r="M1141" s="5"/>
      <c r="N1141" s="5"/>
      <c r="O1141" s="5"/>
      <c r="P1141" s="5"/>
    </row>
    <row r="1142" spans="2:16" s="8" customFormat="1" ht="12.75" hidden="1" customHeight="1">
      <c r="B1142" s="37"/>
      <c r="C1142" s="37"/>
      <c r="D1142" s="38"/>
      <c r="E1142" s="38"/>
      <c r="F1142" s="39"/>
      <c r="K1142" s="5"/>
      <c r="L1142" s="5"/>
      <c r="M1142" s="5"/>
      <c r="N1142" s="5"/>
      <c r="O1142" s="5"/>
      <c r="P1142" s="5"/>
    </row>
    <row r="1143" spans="2:16" s="8" customFormat="1" ht="12.75" hidden="1" customHeight="1">
      <c r="B1143" s="37"/>
      <c r="C1143" s="37"/>
      <c r="D1143" s="38"/>
      <c r="E1143" s="38"/>
      <c r="F1143" s="39"/>
      <c r="K1143" s="5"/>
      <c r="L1143" s="5"/>
      <c r="M1143" s="5"/>
      <c r="N1143" s="5"/>
      <c r="O1143" s="5"/>
      <c r="P1143" s="5"/>
    </row>
    <row r="1144" spans="2:16" s="8" customFormat="1" ht="12.75" hidden="1" customHeight="1">
      <c r="B1144" s="37"/>
      <c r="C1144" s="37"/>
      <c r="D1144" s="38"/>
      <c r="E1144" s="38"/>
      <c r="F1144" s="39"/>
      <c r="K1144" s="5"/>
      <c r="L1144" s="5"/>
      <c r="M1144" s="5"/>
      <c r="N1144" s="5"/>
      <c r="O1144" s="5"/>
      <c r="P1144" s="5"/>
    </row>
    <row r="1145" spans="2:16" s="8" customFormat="1" ht="12.75" hidden="1" customHeight="1">
      <c r="B1145" s="37"/>
      <c r="C1145" s="37"/>
      <c r="D1145" s="38"/>
      <c r="E1145" s="38"/>
      <c r="F1145" s="39"/>
      <c r="K1145" s="5"/>
      <c r="L1145" s="5"/>
      <c r="M1145" s="5"/>
      <c r="N1145" s="5"/>
      <c r="O1145" s="5"/>
      <c r="P1145" s="5"/>
    </row>
    <row r="1146" spans="2:16" s="8" customFormat="1" ht="12.75" hidden="1" customHeight="1">
      <c r="B1146" s="37"/>
      <c r="C1146" s="37"/>
      <c r="D1146" s="38"/>
      <c r="E1146" s="38"/>
      <c r="F1146" s="39"/>
      <c r="K1146" s="5"/>
      <c r="L1146" s="5"/>
      <c r="M1146" s="5"/>
      <c r="N1146" s="5"/>
      <c r="O1146" s="5"/>
      <c r="P1146" s="5"/>
    </row>
    <row r="1147" spans="2:16" s="8" customFormat="1" ht="12.75" hidden="1" customHeight="1">
      <c r="B1147" s="37"/>
      <c r="C1147" s="37"/>
      <c r="D1147" s="38"/>
      <c r="E1147" s="38"/>
      <c r="F1147" s="39"/>
      <c r="K1147" s="5"/>
      <c r="L1147" s="5"/>
      <c r="M1147" s="5"/>
      <c r="N1147" s="5"/>
      <c r="O1147" s="5"/>
      <c r="P1147" s="5"/>
    </row>
    <row r="1148" spans="2:16" s="8" customFormat="1" ht="12.75" hidden="1" customHeight="1">
      <c r="B1148" s="37"/>
      <c r="C1148" s="37"/>
      <c r="D1148" s="38"/>
      <c r="E1148" s="38"/>
      <c r="F1148" s="39"/>
      <c r="K1148" s="5"/>
      <c r="L1148" s="5"/>
      <c r="M1148" s="5"/>
      <c r="N1148" s="5"/>
      <c r="O1148" s="5"/>
      <c r="P1148" s="5"/>
    </row>
    <row r="1149" spans="2:16" s="8" customFormat="1" ht="12.75" hidden="1" customHeight="1">
      <c r="B1149" s="37"/>
      <c r="C1149" s="37"/>
      <c r="D1149" s="38"/>
      <c r="E1149" s="38"/>
      <c r="F1149" s="39"/>
      <c r="K1149" s="5"/>
      <c r="L1149" s="5"/>
      <c r="M1149" s="5"/>
      <c r="N1149" s="5"/>
      <c r="O1149" s="5"/>
      <c r="P1149" s="5"/>
    </row>
    <row r="1150" spans="2:16" s="8" customFormat="1" ht="12.75" hidden="1" customHeight="1">
      <c r="B1150" s="37"/>
      <c r="C1150" s="37"/>
      <c r="D1150" s="38"/>
      <c r="E1150" s="38"/>
      <c r="F1150" s="39"/>
      <c r="K1150" s="5"/>
      <c r="L1150" s="5"/>
      <c r="M1150" s="5"/>
      <c r="N1150" s="5"/>
      <c r="O1150" s="5"/>
      <c r="P1150" s="5"/>
    </row>
    <row r="1151" spans="2:16" s="8" customFormat="1" ht="12.75" hidden="1" customHeight="1">
      <c r="B1151" s="37"/>
      <c r="C1151" s="37"/>
      <c r="D1151" s="38"/>
      <c r="E1151" s="38"/>
      <c r="F1151" s="39"/>
      <c r="K1151" s="5"/>
      <c r="L1151" s="5"/>
      <c r="M1151" s="5"/>
      <c r="N1151" s="5"/>
      <c r="O1151" s="5"/>
      <c r="P1151" s="5"/>
    </row>
    <row r="1152" spans="2:16" s="8" customFormat="1" ht="12.75" hidden="1" customHeight="1">
      <c r="B1152" s="37"/>
      <c r="C1152" s="37"/>
      <c r="D1152" s="38"/>
      <c r="E1152" s="38"/>
      <c r="F1152" s="39"/>
      <c r="K1152" s="5"/>
      <c r="L1152" s="5"/>
      <c r="M1152" s="5"/>
      <c r="N1152" s="5"/>
      <c r="O1152" s="5"/>
      <c r="P1152" s="5"/>
    </row>
    <row r="1153" spans="2:16" s="8" customFormat="1" ht="12.75" hidden="1" customHeight="1">
      <c r="B1153" s="37"/>
      <c r="C1153" s="37"/>
      <c r="D1153" s="38"/>
      <c r="E1153" s="38"/>
      <c r="F1153" s="39"/>
      <c r="K1153" s="5"/>
      <c r="L1153" s="5"/>
      <c r="M1153" s="5"/>
      <c r="N1153" s="5"/>
      <c r="O1153" s="5"/>
      <c r="P1153" s="5"/>
    </row>
    <row r="1154" spans="2:16" s="8" customFormat="1" ht="12.75" hidden="1" customHeight="1">
      <c r="B1154" s="37"/>
      <c r="C1154" s="37"/>
      <c r="D1154" s="38"/>
      <c r="E1154" s="38"/>
      <c r="F1154" s="39"/>
      <c r="K1154" s="5"/>
      <c r="L1154" s="5"/>
      <c r="M1154" s="5"/>
      <c r="N1154" s="5"/>
      <c r="O1154" s="5"/>
      <c r="P1154" s="5"/>
    </row>
    <row r="1155" spans="2:16" s="8" customFormat="1" ht="12.75" hidden="1" customHeight="1">
      <c r="B1155" s="37"/>
      <c r="C1155" s="37"/>
      <c r="D1155" s="38"/>
      <c r="E1155" s="38"/>
      <c r="F1155" s="39"/>
      <c r="K1155" s="5"/>
      <c r="L1155" s="5"/>
      <c r="M1155" s="5"/>
      <c r="N1155" s="5"/>
      <c r="O1155" s="5"/>
      <c r="P1155" s="5"/>
    </row>
    <row r="1156" spans="2:16" s="8" customFormat="1" ht="12.75" hidden="1" customHeight="1">
      <c r="B1156" s="37"/>
      <c r="C1156" s="37"/>
      <c r="D1156" s="38"/>
      <c r="E1156" s="38"/>
      <c r="F1156" s="39"/>
      <c r="K1156" s="5"/>
      <c r="L1156" s="5"/>
      <c r="M1156" s="5"/>
      <c r="N1156" s="5"/>
      <c r="O1156" s="5"/>
      <c r="P1156" s="5"/>
    </row>
    <row r="1157" spans="2:16" s="8" customFormat="1" ht="12.75" hidden="1" customHeight="1">
      <c r="B1157" s="37"/>
      <c r="C1157" s="37"/>
      <c r="D1157" s="38"/>
      <c r="E1157" s="38"/>
      <c r="F1157" s="39"/>
      <c r="K1157" s="5"/>
      <c r="L1157" s="5"/>
      <c r="M1157" s="5"/>
      <c r="N1157" s="5"/>
      <c r="O1157" s="5"/>
      <c r="P1157" s="5"/>
    </row>
    <row r="1158" spans="2:16" s="8" customFormat="1" ht="12.75" hidden="1" customHeight="1">
      <c r="B1158" s="37"/>
      <c r="C1158" s="37"/>
      <c r="D1158" s="38"/>
      <c r="E1158" s="38"/>
      <c r="F1158" s="39"/>
      <c r="K1158" s="5"/>
      <c r="L1158" s="5"/>
      <c r="M1158" s="5"/>
      <c r="N1158" s="5"/>
      <c r="O1158" s="5"/>
      <c r="P1158" s="5"/>
    </row>
    <row r="1159" spans="2:16" s="8" customFormat="1" ht="12.75" hidden="1" customHeight="1">
      <c r="B1159" s="37"/>
      <c r="C1159" s="37"/>
      <c r="D1159" s="38"/>
      <c r="E1159" s="38"/>
      <c r="F1159" s="39"/>
      <c r="K1159" s="5"/>
      <c r="L1159" s="5"/>
      <c r="M1159" s="5"/>
      <c r="N1159" s="5"/>
      <c r="O1159" s="5"/>
      <c r="P1159" s="5"/>
    </row>
    <row r="1160" spans="2:16" s="8" customFormat="1" ht="12.75" hidden="1" customHeight="1">
      <c r="B1160" s="37"/>
      <c r="C1160" s="37"/>
      <c r="D1160" s="38"/>
      <c r="E1160" s="38"/>
      <c r="F1160" s="39"/>
      <c r="K1160" s="5"/>
      <c r="L1160" s="5"/>
      <c r="M1160" s="5"/>
      <c r="N1160" s="5"/>
      <c r="O1160" s="5"/>
      <c r="P1160" s="5"/>
    </row>
    <row r="1161" spans="2:16" s="8" customFormat="1" ht="12.75" hidden="1" customHeight="1">
      <c r="B1161" s="37"/>
      <c r="C1161" s="37"/>
      <c r="D1161" s="38"/>
      <c r="E1161" s="38"/>
      <c r="F1161" s="39"/>
      <c r="K1161" s="5"/>
      <c r="L1161" s="5"/>
      <c r="M1161" s="5"/>
      <c r="N1161" s="5"/>
      <c r="O1161" s="5"/>
      <c r="P1161" s="5"/>
    </row>
    <row r="1162" spans="2:16" s="8" customFormat="1" ht="12.75" hidden="1" customHeight="1">
      <c r="B1162" s="37"/>
      <c r="C1162" s="37"/>
      <c r="D1162" s="38"/>
      <c r="E1162" s="38"/>
      <c r="F1162" s="39"/>
      <c r="K1162" s="5"/>
      <c r="L1162" s="5"/>
      <c r="M1162" s="5"/>
      <c r="N1162" s="5"/>
      <c r="O1162" s="5"/>
      <c r="P1162" s="5"/>
    </row>
    <row r="1163" spans="2:16" s="8" customFormat="1" ht="12.75" hidden="1" customHeight="1">
      <c r="B1163" s="37"/>
      <c r="C1163" s="37"/>
      <c r="D1163" s="38"/>
      <c r="E1163" s="38"/>
      <c r="F1163" s="39"/>
      <c r="K1163" s="5"/>
      <c r="L1163" s="5"/>
      <c r="M1163" s="5"/>
      <c r="N1163" s="5"/>
      <c r="O1163" s="5"/>
      <c r="P1163" s="5"/>
    </row>
    <row r="1164" spans="2:16" s="8" customFormat="1" ht="12.75" hidden="1" customHeight="1">
      <c r="B1164" s="37"/>
      <c r="C1164" s="37"/>
      <c r="D1164" s="38"/>
      <c r="E1164" s="38"/>
      <c r="F1164" s="39"/>
      <c r="K1164" s="5"/>
      <c r="L1164" s="5"/>
      <c r="M1164" s="5"/>
      <c r="N1164" s="5"/>
      <c r="O1164" s="5"/>
      <c r="P1164" s="5"/>
    </row>
    <row r="1165" spans="2:16" s="8" customFormat="1" ht="12.75" hidden="1" customHeight="1">
      <c r="B1165" s="37"/>
      <c r="C1165" s="37"/>
      <c r="D1165" s="38"/>
      <c r="E1165" s="38"/>
      <c r="F1165" s="39"/>
      <c r="K1165" s="5"/>
      <c r="L1165" s="5"/>
      <c r="M1165" s="5"/>
      <c r="N1165" s="5"/>
      <c r="O1165" s="5"/>
      <c r="P1165" s="5"/>
    </row>
    <row r="1166" spans="2:16" s="8" customFormat="1" ht="12.75" hidden="1" customHeight="1">
      <c r="B1166" s="37"/>
      <c r="C1166" s="37"/>
      <c r="D1166" s="38"/>
      <c r="E1166" s="38"/>
      <c r="F1166" s="39"/>
      <c r="K1166" s="5"/>
      <c r="L1166" s="5"/>
      <c r="M1166" s="5"/>
      <c r="N1166" s="5"/>
      <c r="O1166" s="5"/>
      <c r="P1166" s="5"/>
    </row>
    <row r="1167" spans="2:16" s="8" customFormat="1" ht="12.75" hidden="1" customHeight="1">
      <c r="B1167" s="37"/>
      <c r="C1167" s="37"/>
      <c r="D1167" s="38"/>
      <c r="E1167" s="38"/>
      <c r="F1167" s="39"/>
      <c r="K1167" s="5"/>
      <c r="L1167" s="5"/>
      <c r="M1167" s="5"/>
      <c r="N1167" s="5"/>
      <c r="O1167" s="5"/>
      <c r="P1167" s="5"/>
    </row>
    <row r="1168" spans="2:16" s="8" customFormat="1" ht="12.75" hidden="1" customHeight="1">
      <c r="B1168" s="37"/>
      <c r="C1168" s="37"/>
      <c r="D1168" s="38"/>
      <c r="E1168" s="38"/>
      <c r="F1168" s="39"/>
      <c r="K1168" s="5"/>
      <c r="L1168" s="5"/>
      <c r="M1168" s="5"/>
      <c r="N1168" s="5"/>
      <c r="O1168" s="5"/>
      <c r="P1168" s="5"/>
    </row>
    <row r="1169" spans="2:16" s="8" customFormat="1" ht="12.75" hidden="1" customHeight="1">
      <c r="B1169" s="37"/>
      <c r="C1169" s="37"/>
      <c r="D1169" s="38"/>
      <c r="E1169" s="38"/>
      <c r="F1169" s="39"/>
      <c r="K1169" s="5"/>
      <c r="L1169" s="5"/>
      <c r="M1169" s="5"/>
      <c r="N1169" s="5"/>
      <c r="O1169" s="5"/>
      <c r="P1169" s="5"/>
    </row>
    <row r="1170" spans="2:16" s="8" customFormat="1" ht="12.75" hidden="1" customHeight="1">
      <c r="B1170" s="37"/>
      <c r="C1170" s="37"/>
      <c r="D1170" s="38"/>
      <c r="E1170" s="38"/>
      <c r="F1170" s="39"/>
      <c r="K1170" s="5"/>
      <c r="L1170" s="5"/>
      <c r="M1170" s="5"/>
      <c r="N1170" s="5"/>
      <c r="O1170" s="5"/>
      <c r="P1170" s="5"/>
    </row>
    <row r="1171" spans="2:16" s="8" customFormat="1" ht="12.75" hidden="1" customHeight="1">
      <c r="B1171" s="37"/>
      <c r="C1171" s="37"/>
      <c r="D1171" s="38"/>
      <c r="E1171" s="38"/>
      <c r="F1171" s="39"/>
      <c r="K1171" s="5"/>
      <c r="L1171" s="5"/>
      <c r="M1171" s="5"/>
      <c r="N1171" s="5"/>
      <c r="O1171" s="5"/>
      <c r="P1171" s="5"/>
    </row>
    <row r="1172" spans="2:16" s="8" customFormat="1" ht="12.75" hidden="1" customHeight="1">
      <c r="B1172" s="37"/>
      <c r="C1172" s="37"/>
      <c r="D1172" s="38"/>
      <c r="E1172" s="38"/>
      <c r="F1172" s="39"/>
      <c r="K1172" s="5"/>
      <c r="L1172" s="5"/>
      <c r="M1172" s="5"/>
      <c r="N1172" s="5"/>
      <c r="O1172" s="5"/>
      <c r="P1172" s="5"/>
    </row>
    <row r="1173" spans="2:16" s="8" customFormat="1" ht="12.75" hidden="1" customHeight="1">
      <c r="B1173" s="37"/>
      <c r="C1173" s="37"/>
      <c r="D1173" s="38"/>
      <c r="E1173" s="38"/>
      <c r="F1173" s="39"/>
      <c r="K1173" s="5"/>
      <c r="L1173" s="5"/>
      <c r="M1173" s="5"/>
      <c r="N1173" s="5"/>
      <c r="O1173" s="5"/>
      <c r="P1173" s="5"/>
    </row>
    <row r="1174" spans="2:16" s="8" customFormat="1" ht="12.75" hidden="1" customHeight="1">
      <c r="B1174" s="37"/>
      <c r="C1174" s="37"/>
      <c r="D1174" s="38"/>
      <c r="E1174" s="38"/>
      <c r="F1174" s="39"/>
      <c r="K1174" s="5"/>
      <c r="L1174" s="5"/>
      <c r="M1174" s="5"/>
      <c r="N1174" s="5"/>
      <c r="O1174" s="5"/>
      <c r="P1174" s="5"/>
    </row>
    <row r="1175" spans="2:16" s="8" customFormat="1" ht="12.75" hidden="1" customHeight="1">
      <c r="B1175" s="37"/>
      <c r="C1175" s="37"/>
      <c r="D1175" s="38"/>
      <c r="E1175" s="38"/>
      <c r="F1175" s="39"/>
      <c r="K1175" s="5"/>
      <c r="L1175" s="5"/>
      <c r="M1175" s="5"/>
      <c r="N1175" s="5"/>
      <c r="O1175" s="5"/>
      <c r="P1175" s="5"/>
    </row>
    <row r="1176" spans="2:16" s="8" customFormat="1" ht="12.75" hidden="1" customHeight="1">
      <c r="B1176" s="37"/>
      <c r="C1176" s="37"/>
      <c r="D1176" s="38"/>
      <c r="E1176" s="38"/>
      <c r="F1176" s="39"/>
      <c r="K1176" s="5"/>
      <c r="L1176" s="5"/>
      <c r="M1176" s="5"/>
      <c r="N1176" s="5"/>
      <c r="O1176" s="5"/>
      <c r="P1176" s="5"/>
    </row>
    <row r="1177" spans="2:16" s="8" customFormat="1" ht="12.75" hidden="1" customHeight="1">
      <c r="B1177" s="37"/>
      <c r="C1177" s="37"/>
      <c r="D1177" s="38"/>
      <c r="E1177" s="38"/>
      <c r="F1177" s="39"/>
      <c r="K1177" s="5"/>
      <c r="L1177" s="5"/>
      <c r="M1177" s="5"/>
      <c r="N1177" s="5"/>
      <c r="O1177" s="5"/>
      <c r="P1177" s="5"/>
    </row>
    <row r="1178" spans="2:16" s="8" customFormat="1" ht="12.75" hidden="1" customHeight="1">
      <c r="B1178" s="37"/>
      <c r="C1178" s="37"/>
      <c r="D1178" s="38"/>
      <c r="E1178" s="38"/>
      <c r="F1178" s="39"/>
      <c r="K1178" s="5"/>
      <c r="L1178" s="5"/>
      <c r="M1178" s="5"/>
      <c r="N1178" s="5"/>
      <c r="O1178" s="5"/>
      <c r="P1178" s="5"/>
    </row>
    <row r="1179" spans="2:16" s="8" customFormat="1" ht="12.75" hidden="1" customHeight="1">
      <c r="B1179" s="37"/>
      <c r="C1179" s="37"/>
      <c r="D1179" s="38"/>
      <c r="E1179" s="38"/>
      <c r="F1179" s="39"/>
      <c r="K1179" s="5"/>
      <c r="L1179" s="5"/>
      <c r="M1179" s="5"/>
      <c r="N1179" s="5"/>
      <c r="O1179" s="5"/>
      <c r="P1179" s="5"/>
    </row>
    <row r="1180" spans="2:16" s="8" customFormat="1" ht="12.75" hidden="1" customHeight="1">
      <c r="B1180" s="37"/>
      <c r="C1180" s="37"/>
      <c r="D1180" s="38"/>
      <c r="E1180" s="38"/>
      <c r="F1180" s="39"/>
      <c r="K1180" s="5"/>
      <c r="L1180" s="5"/>
      <c r="M1180" s="5"/>
      <c r="N1180" s="5"/>
      <c r="O1180" s="5"/>
      <c r="P1180" s="5"/>
    </row>
    <row r="1181" spans="2:16" s="8" customFormat="1" ht="12.75" hidden="1" customHeight="1">
      <c r="B1181" s="37"/>
      <c r="C1181" s="37"/>
      <c r="D1181" s="38"/>
      <c r="E1181" s="38"/>
      <c r="F1181" s="39"/>
      <c r="K1181" s="5"/>
      <c r="L1181" s="5"/>
      <c r="M1181" s="5"/>
      <c r="N1181" s="5"/>
      <c r="O1181" s="5"/>
      <c r="P1181" s="5"/>
    </row>
    <row r="1182" spans="2:16" s="8" customFormat="1" ht="12.75" hidden="1" customHeight="1">
      <c r="B1182" s="37"/>
      <c r="C1182" s="37"/>
      <c r="D1182" s="38"/>
      <c r="E1182" s="38"/>
      <c r="F1182" s="39"/>
      <c r="K1182" s="5"/>
      <c r="L1182" s="5"/>
      <c r="M1182" s="5"/>
      <c r="N1182" s="5"/>
      <c r="O1182" s="5"/>
      <c r="P1182" s="5"/>
    </row>
    <row r="1183" spans="2:16" s="8" customFormat="1" ht="12.75" hidden="1" customHeight="1">
      <c r="B1183" s="37"/>
      <c r="C1183" s="37"/>
      <c r="D1183" s="38"/>
      <c r="E1183" s="38"/>
      <c r="F1183" s="39"/>
      <c r="K1183" s="5"/>
      <c r="L1183" s="5"/>
      <c r="M1183" s="5"/>
      <c r="N1183" s="5"/>
      <c r="O1183" s="5"/>
      <c r="P1183" s="5"/>
    </row>
    <row r="1184" spans="2:16" s="8" customFormat="1" ht="12.75" hidden="1" customHeight="1">
      <c r="B1184" s="37"/>
      <c r="C1184" s="37"/>
      <c r="D1184" s="38"/>
      <c r="E1184" s="38"/>
      <c r="F1184" s="39"/>
      <c r="K1184" s="5"/>
      <c r="L1184" s="5"/>
      <c r="M1184" s="5"/>
      <c r="N1184" s="5"/>
      <c r="O1184" s="5"/>
      <c r="P1184" s="5"/>
    </row>
    <row r="1185" spans="2:16" s="8" customFormat="1" ht="12.75" hidden="1" customHeight="1">
      <c r="B1185" s="37"/>
      <c r="C1185" s="37"/>
      <c r="D1185" s="38"/>
      <c r="E1185" s="38"/>
      <c r="F1185" s="39"/>
      <c r="K1185" s="5"/>
      <c r="L1185" s="5"/>
      <c r="M1185" s="5"/>
      <c r="N1185" s="5"/>
      <c r="O1185" s="5"/>
      <c r="P1185" s="5"/>
    </row>
    <row r="1186" spans="2:16" s="8" customFormat="1" ht="12.75" hidden="1" customHeight="1">
      <c r="B1186" s="37"/>
      <c r="C1186" s="37"/>
      <c r="D1186" s="38"/>
      <c r="E1186" s="38"/>
      <c r="F1186" s="39"/>
      <c r="K1186" s="5"/>
      <c r="L1186" s="5"/>
      <c r="M1186" s="5"/>
      <c r="N1186" s="5"/>
      <c r="O1186" s="5"/>
      <c r="P1186" s="5"/>
    </row>
    <row r="1187" spans="2:16" s="8" customFormat="1" ht="12.75" hidden="1" customHeight="1">
      <c r="B1187" s="37"/>
      <c r="C1187" s="37"/>
      <c r="D1187" s="38"/>
      <c r="E1187" s="38"/>
      <c r="F1187" s="39"/>
      <c r="K1187" s="5"/>
      <c r="L1187" s="5"/>
      <c r="M1187" s="5"/>
      <c r="N1187" s="5"/>
      <c r="O1187" s="5"/>
      <c r="P1187" s="5"/>
    </row>
    <row r="1188" spans="2:16" s="8" customFormat="1" ht="12.75" hidden="1" customHeight="1">
      <c r="B1188" s="37"/>
      <c r="C1188" s="37"/>
      <c r="D1188" s="38"/>
      <c r="E1188" s="38"/>
      <c r="F1188" s="39"/>
      <c r="K1188" s="5"/>
      <c r="L1188" s="5"/>
      <c r="M1188" s="5"/>
      <c r="N1188" s="5"/>
      <c r="O1188" s="5"/>
      <c r="P1188" s="5"/>
    </row>
    <row r="1189" spans="2:16" s="8" customFormat="1" ht="12.75" hidden="1" customHeight="1">
      <c r="B1189" s="37"/>
      <c r="C1189" s="37"/>
      <c r="D1189" s="38"/>
      <c r="E1189" s="38"/>
      <c r="F1189" s="39"/>
      <c r="K1189" s="5"/>
      <c r="L1189" s="5"/>
      <c r="M1189" s="5"/>
      <c r="N1189" s="5"/>
      <c r="O1189" s="5"/>
      <c r="P1189" s="5"/>
    </row>
    <row r="1190" spans="2:16" s="8" customFormat="1" ht="12.75" hidden="1" customHeight="1">
      <c r="B1190" s="37"/>
      <c r="C1190" s="37"/>
      <c r="D1190" s="38"/>
      <c r="E1190" s="38"/>
      <c r="F1190" s="39"/>
      <c r="K1190" s="5"/>
      <c r="L1190" s="5"/>
      <c r="M1190" s="5"/>
      <c r="N1190" s="5"/>
      <c r="O1190" s="5"/>
      <c r="P1190" s="5"/>
    </row>
    <row r="1191" spans="2:16" s="8" customFormat="1" ht="12.75" hidden="1" customHeight="1">
      <c r="B1191" s="37"/>
      <c r="C1191" s="37"/>
      <c r="D1191" s="38"/>
      <c r="E1191" s="38"/>
      <c r="F1191" s="39"/>
      <c r="K1191" s="5"/>
      <c r="L1191" s="5"/>
      <c r="M1191" s="5"/>
      <c r="N1191" s="5"/>
      <c r="O1191" s="5"/>
      <c r="P1191" s="5"/>
    </row>
    <row r="1192" spans="2:16" s="8" customFormat="1" ht="12.75" hidden="1" customHeight="1">
      <c r="B1192" s="37"/>
      <c r="C1192" s="37"/>
      <c r="D1192" s="38"/>
      <c r="E1192" s="38"/>
      <c r="F1192" s="39"/>
      <c r="K1192" s="5"/>
      <c r="L1192" s="5"/>
      <c r="M1192" s="5"/>
      <c r="N1192" s="5"/>
      <c r="O1192" s="5"/>
      <c r="P1192" s="5"/>
    </row>
    <row r="1193" spans="2:16" s="8" customFormat="1" ht="12.75" hidden="1" customHeight="1">
      <c r="B1193" s="37"/>
      <c r="C1193" s="37"/>
      <c r="D1193" s="38"/>
      <c r="E1193" s="38"/>
      <c r="F1193" s="39"/>
      <c r="K1193" s="5"/>
      <c r="L1193" s="5"/>
      <c r="M1193" s="5"/>
      <c r="N1193" s="5"/>
      <c r="O1193" s="5"/>
      <c r="P1193" s="5"/>
    </row>
    <row r="1194" spans="2:16" s="8" customFormat="1" ht="12.75" hidden="1" customHeight="1">
      <c r="B1194" s="37"/>
      <c r="C1194" s="37"/>
      <c r="D1194" s="38"/>
      <c r="E1194" s="38"/>
      <c r="F1194" s="39"/>
      <c r="K1194" s="5"/>
      <c r="L1194" s="5"/>
      <c r="M1194" s="5"/>
      <c r="N1194" s="5"/>
      <c r="O1194" s="5"/>
      <c r="P1194" s="5"/>
    </row>
    <row r="1195" spans="2:16" s="8" customFormat="1" ht="12.75" hidden="1" customHeight="1">
      <c r="B1195" s="37"/>
      <c r="C1195" s="37"/>
      <c r="D1195" s="38"/>
      <c r="E1195" s="38"/>
      <c r="F1195" s="39"/>
      <c r="K1195" s="5"/>
      <c r="L1195" s="5"/>
      <c r="M1195" s="5"/>
      <c r="N1195" s="5"/>
      <c r="O1195" s="5"/>
      <c r="P1195" s="5"/>
    </row>
    <row r="1196" spans="2:16" s="8" customFormat="1" ht="12.75" hidden="1" customHeight="1">
      <c r="B1196" s="37"/>
      <c r="C1196" s="37"/>
      <c r="D1196" s="38"/>
      <c r="E1196" s="38"/>
      <c r="F1196" s="39"/>
      <c r="K1196" s="5"/>
      <c r="L1196" s="5"/>
      <c r="M1196" s="5"/>
      <c r="N1196" s="5"/>
      <c r="O1196" s="5"/>
      <c r="P1196" s="5"/>
    </row>
    <row r="1197" spans="2:16" s="8" customFormat="1" ht="12.75" hidden="1" customHeight="1">
      <c r="B1197" s="37"/>
      <c r="C1197" s="37"/>
      <c r="D1197" s="38"/>
      <c r="E1197" s="38"/>
      <c r="F1197" s="39"/>
      <c r="K1197" s="5"/>
      <c r="L1197" s="5"/>
      <c r="M1197" s="5"/>
      <c r="N1197" s="5"/>
      <c r="O1197" s="5"/>
      <c r="P1197" s="5"/>
    </row>
    <row r="1198" spans="2:16" s="8" customFormat="1" ht="12.75" hidden="1" customHeight="1">
      <c r="B1198" s="37"/>
      <c r="C1198" s="37"/>
      <c r="D1198" s="38"/>
      <c r="E1198" s="38"/>
      <c r="F1198" s="39"/>
      <c r="K1198" s="5"/>
      <c r="L1198" s="5"/>
      <c r="M1198" s="5"/>
      <c r="N1198" s="5"/>
      <c r="O1198" s="5"/>
      <c r="P1198" s="5"/>
    </row>
    <row r="1199" spans="2:16" s="8" customFormat="1" ht="12.75" hidden="1" customHeight="1">
      <c r="B1199" s="37"/>
      <c r="C1199" s="37"/>
      <c r="D1199" s="38"/>
      <c r="E1199" s="38"/>
      <c r="F1199" s="39"/>
      <c r="K1199" s="5"/>
      <c r="L1199" s="5"/>
      <c r="M1199" s="5"/>
      <c r="N1199" s="5"/>
      <c r="O1199" s="5"/>
      <c r="P1199" s="5"/>
    </row>
    <row r="1200" spans="2:16" s="8" customFormat="1" ht="12.75" hidden="1" customHeight="1">
      <c r="B1200" s="37"/>
      <c r="C1200" s="37"/>
      <c r="D1200" s="38"/>
      <c r="E1200" s="38"/>
      <c r="F1200" s="39"/>
      <c r="K1200" s="5"/>
      <c r="L1200" s="5"/>
      <c r="M1200" s="5"/>
      <c r="N1200" s="5"/>
      <c r="O1200" s="5"/>
      <c r="P1200" s="5"/>
    </row>
    <row r="1201" spans="2:16" s="8" customFormat="1" ht="12.75" hidden="1" customHeight="1">
      <c r="B1201" s="37"/>
      <c r="C1201" s="37"/>
      <c r="D1201" s="38"/>
      <c r="E1201" s="38"/>
      <c r="F1201" s="39"/>
      <c r="K1201" s="5"/>
      <c r="L1201" s="5"/>
      <c r="M1201" s="5"/>
      <c r="N1201" s="5"/>
      <c r="O1201" s="5"/>
      <c r="P1201" s="5"/>
    </row>
    <row r="1202" spans="2:16" s="8" customFormat="1" ht="12.75" hidden="1" customHeight="1">
      <c r="B1202" s="37"/>
      <c r="C1202" s="37"/>
      <c r="D1202" s="38"/>
      <c r="E1202" s="38"/>
      <c r="F1202" s="39"/>
      <c r="K1202" s="5"/>
      <c r="L1202" s="5"/>
      <c r="M1202" s="5"/>
      <c r="N1202" s="5"/>
      <c r="O1202" s="5"/>
      <c r="P1202" s="5"/>
    </row>
    <row r="1203" spans="2:16" s="8" customFormat="1" ht="12.75" hidden="1" customHeight="1">
      <c r="B1203" s="37"/>
      <c r="C1203" s="37"/>
      <c r="D1203" s="38"/>
      <c r="E1203" s="38"/>
      <c r="F1203" s="39"/>
      <c r="K1203" s="5"/>
      <c r="L1203" s="5"/>
      <c r="M1203" s="5"/>
      <c r="N1203" s="5"/>
      <c r="O1203" s="5"/>
      <c r="P1203" s="5"/>
    </row>
    <row r="1204" spans="2:16" s="8" customFormat="1" ht="12.75" hidden="1" customHeight="1">
      <c r="B1204" s="37"/>
      <c r="C1204" s="37"/>
      <c r="D1204" s="38"/>
      <c r="E1204" s="38"/>
      <c r="F1204" s="39"/>
      <c r="K1204" s="5"/>
      <c r="L1204" s="5"/>
      <c r="M1204" s="5"/>
      <c r="N1204" s="5"/>
      <c r="O1204" s="5"/>
      <c r="P1204" s="5"/>
    </row>
    <row r="1205" spans="2:16" s="8" customFormat="1" ht="12.75" hidden="1" customHeight="1">
      <c r="B1205" s="37"/>
      <c r="C1205" s="37"/>
      <c r="D1205" s="38"/>
      <c r="E1205" s="38"/>
      <c r="F1205" s="39"/>
      <c r="K1205" s="5"/>
      <c r="L1205" s="5"/>
      <c r="M1205" s="5"/>
      <c r="N1205" s="5"/>
      <c r="O1205" s="5"/>
      <c r="P1205" s="5"/>
    </row>
    <row r="1206" spans="2:16" s="8" customFormat="1" ht="12.75" hidden="1" customHeight="1">
      <c r="B1206" s="37"/>
      <c r="C1206" s="37"/>
      <c r="D1206" s="38"/>
      <c r="E1206" s="38"/>
      <c r="F1206" s="39"/>
      <c r="K1206" s="5"/>
      <c r="L1206" s="5"/>
      <c r="M1206" s="5"/>
      <c r="N1206" s="5"/>
      <c r="O1206" s="5"/>
      <c r="P1206" s="5"/>
    </row>
    <row r="1207" spans="2:16" s="8" customFormat="1" ht="12.75" hidden="1" customHeight="1">
      <c r="B1207" s="37"/>
      <c r="C1207" s="37"/>
      <c r="D1207" s="38"/>
      <c r="E1207" s="38"/>
      <c r="F1207" s="39"/>
      <c r="K1207" s="5"/>
      <c r="L1207" s="5"/>
      <c r="M1207" s="5"/>
      <c r="N1207" s="5"/>
      <c r="O1207" s="5"/>
      <c r="P1207" s="5"/>
    </row>
    <row r="1208" spans="2:16" s="8" customFormat="1" ht="12.75" hidden="1" customHeight="1">
      <c r="B1208" s="37"/>
      <c r="C1208" s="37"/>
      <c r="D1208" s="38"/>
      <c r="E1208" s="38"/>
      <c r="F1208" s="39"/>
      <c r="K1208" s="5"/>
      <c r="L1208" s="5"/>
      <c r="M1208" s="5"/>
      <c r="N1208" s="5"/>
      <c r="O1208" s="5"/>
      <c r="P1208" s="5"/>
    </row>
    <row r="1209" spans="2:16" s="8" customFormat="1" ht="12.75" hidden="1" customHeight="1">
      <c r="B1209" s="37"/>
      <c r="C1209" s="37"/>
      <c r="D1209" s="38"/>
      <c r="E1209" s="38"/>
      <c r="F1209" s="39"/>
      <c r="K1209" s="5"/>
      <c r="L1209" s="5"/>
      <c r="M1209" s="5"/>
      <c r="N1209" s="5"/>
      <c r="O1209" s="5"/>
      <c r="P1209" s="5"/>
    </row>
    <row r="1210" spans="2:16" s="8" customFormat="1" ht="12.75" hidden="1" customHeight="1">
      <c r="B1210" s="37"/>
      <c r="C1210" s="37"/>
      <c r="D1210" s="38"/>
      <c r="E1210" s="38"/>
      <c r="F1210" s="39"/>
      <c r="K1210" s="5"/>
      <c r="L1210" s="5"/>
      <c r="M1210" s="5"/>
      <c r="N1210" s="5"/>
      <c r="O1210" s="5"/>
      <c r="P1210" s="5"/>
    </row>
    <row r="1211" spans="2:16" s="8" customFormat="1" ht="12.75" hidden="1" customHeight="1">
      <c r="B1211" s="37"/>
      <c r="C1211" s="37"/>
      <c r="D1211" s="38"/>
      <c r="E1211" s="38"/>
      <c r="F1211" s="39"/>
      <c r="K1211" s="5"/>
      <c r="L1211" s="5"/>
      <c r="M1211" s="5"/>
      <c r="N1211" s="5"/>
      <c r="O1211" s="5"/>
      <c r="P1211" s="5"/>
    </row>
    <row r="1212" spans="2:16" s="8" customFormat="1" ht="12.75" hidden="1" customHeight="1">
      <c r="B1212" s="37"/>
      <c r="C1212" s="37"/>
      <c r="D1212" s="38"/>
      <c r="E1212" s="38"/>
      <c r="F1212" s="39"/>
      <c r="K1212" s="5"/>
      <c r="L1212" s="5"/>
      <c r="M1212" s="5"/>
      <c r="N1212" s="5"/>
      <c r="O1212" s="5"/>
      <c r="P1212" s="5"/>
    </row>
    <row r="1213" spans="2:16" s="8" customFormat="1" ht="12.75" hidden="1" customHeight="1">
      <c r="B1213" s="37"/>
      <c r="C1213" s="37"/>
      <c r="D1213" s="38"/>
      <c r="E1213" s="38"/>
      <c r="F1213" s="39"/>
      <c r="K1213" s="5"/>
      <c r="L1213" s="5"/>
      <c r="M1213" s="5"/>
      <c r="N1213" s="5"/>
      <c r="O1213" s="5"/>
      <c r="P1213" s="5"/>
    </row>
    <row r="1214" spans="2:16" s="8" customFormat="1" ht="12.75" hidden="1" customHeight="1">
      <c r="B1214" s="37"/>
      <c r="C1214" s="37"/>
      <c r="D1214" s="38"/>
      <c r="E1214" s="38"/>
      <c r="F1214" s="39"/>
      <c r="K1214" s="5"/>
      <c r="L1214" s="5"/>
      <c r="M1214" s="5"/>
      <c r="N1214" s="5"/>
      <c r="O1214" s="5"/>
      <c r="P1214" s="5"/>
    </row>
    <row r="1215" spans="2:16" s="8" customFormat="1" ht="12.75" hidden="1" customHeight="1">
      <c r="B1215" s="37"/>
      <c r="C1215" s="37"/>
      <c r="D1215" s="38"/>
      <c r="E1215" s="38"/>
      <c r="F1215" s="39"/>
      <c r="K1215" s="5"/>
      <c r="L1215" s="5"/>
      <c r="M1215" s="5"/>
      <c r="N1215" s="5"/>
      <c r="O1215" s="5"/>
      <c r="P1215" s="5"/>
    </row>
    <row r="1216" spans="2:16" s="8" customFormat="1" ht="12.75" hidden="1" customHeight="1">
      <c r="B1216" s="37"/>
      <c r="C1216" s="37"/>
      <c r="D1216" s="38"/>
      <c r="E1216" s="38"/>
      <c r="F1216" s="39"/>
      <c r="K1216" s="5"/>
      <c r="L1216" s="5"/>
      <c r="M1216" s="5"/>
      <c r="N1216" s="5"/>
      <c r="O1216" s="5"/>
      <c r="P1216" s="5"/>
    </row>
    <row r="1217" spans="2:16" s="8" customFormat="1" ht="12.75" hidden="1" customHeight="1">
      <c r="B1217" s="37"/>
      <c r="C1217" s="37"/>
      <c r="D1217" s="38"/>
      <c r="E1217" s="38"/>
      <c r="F1217" s="39"/>
      <c r="K1217" s="5"/>
      <c r="L1217" s="5"/>
      <c r="M1217" s="5"/>
      <c r="N1217" s="5"/>
      <c r="O1217" s="5"/>
      <c r="P1217" s="5"/>
    </row>
    <row r="1218" spans="2:16" s="8" customFormat="1" ht="12.75" hidden="1" customHeight="1">
      <c r="B1218" s="37"/>
      <c r="C1218" s="37"/>
      <c r="D1218" s="38"/>
      <c r="E1218" s="38"/>
      <c r="F1218" s="39"/>
      <c r="K1218" s="5"/>
      <c r="L1218" s="5"/>
      <c r="M1218" s="5"/>
      <c r="N1218" s="5"/>
      <c r="O1218" s="5"/>
      <c r="P1218" s="5"/>
    </row>
    <row r="1219" spans="2:16" s="8" customFormat="1" ht="12.75" hidden="1" customHeight="1">
      <c r="B1219" s="37"/>
      <c r="C1219" s="37"/>
      <c r="D1219" s="38"/>
      <c r="E1219" s="38"/>
      <c r="F1219" s="39"/>
      <c r="K1219" s="5"/>
      <c r="L1219" s="5"/>
      <c r="M1219" s="5"/>
      <c r="N1219" s="5"/>
      <c r="O1219" s="5"/>
      <c r="P1219" s="5"/>
    </row>
    <row r="1220" spans="2:16" s="8" customFormat="1" ht="12.75" hidden="1" customHeight="1">
      <c r="B1220" s="37"/>
      <c r="C1220" s="37"/>
      <c r="D1220" s="38"/>
      <c r="E1220" s="38"/>
      <c r="F1220" s="39"/>
      <c r="K1220" s="5"/>
      <c r="L1220" s="5"/>
      <c r="M1220" s="5"/>
      <c r="N1220" s="5"/>
      <c r="O1220" s="5"/>
      <c r="P1220" s="5"/>
    </row>
    <row r="1221" spans="2:16" s="8" customFormat="1" ht="12.75" hidden="1" customHeight="1">
      <c r="B1221" s="37"/>
      <c r="C1221" s="37"/>
      <c r="D1221" s="38"/>
      <c r="E1221" s="38"/>
      <c r="F1221" s="39"/>
      <c r="K1221" s="5"/>
      <c r="L1221" s="5"/>
      <c r="M1221" s="5"/>
      <c r="N1221" s="5"/>
      <c r="O1221" s="5"/>
      <c r="P1221" s="5"/>
    </row>
    <row r="1222" spans="2:16" s="8" customFormat="1" ht="12.75" hidden="1" customHeight="1">
      <c r="B1222" s="37"/>
      <c r="C1222" s="37"/>
      <c r="D1222" s="38"/>
      <c r="E1222" s="38"/>
      <c r="F1222" s="39"/>
      <c r="K1222" s="5"/>
      <c r="L1222" s="5"/>
      <c r="M1222" s="5"/>
      <c r="N1222" s="5"/>
      <c r="O1222" s="5"/>
      <c r="P1222" s="5"/>
    </row>
    <row r="1223" spans="2:16" s="8" customFormat="1" ht="12.75" hidden="1" customHeight="1">
      <c r="B1223" s="37"/>
      <c r="C1223" s="37"/>
      <c r="D1223" s="38"/>
      <c r="E1223" s="38"/>
      <c r="F1223" s="39"/>
      <c r="K1223" s="5"/>
      <c r="L1223" s="5"/>
      <c r="M1223" s="5"/>
      <c r="N1223" s="5"/>
      <c r="O1223" s="5"/>
      <c r="P1223" s="5"/>
    </row>
    <row r="1224" spans="2:16" s="8" customFormat="1" ht="12.75" hidden="1" customHeight="1">
      <c r="B1224" s="37"/>
      <c r="C1224" s="37"/>
      <c r="D1224" s="38"/>
      <c r="E1224" s="38"/>
      <c r="F1224" s="39"/>
      <c r="K1224" s="5"/>
      <c r="L1224" s="5"/>
      <c r="M1224" s="5"/>
      <c r="N1224" s="5"/>
      <c r="O1224" s="5"/>
      <c r="P1224" s="5"/>
    </row>
    <row r="1225" spans="2:16" s="8" customFormat="1" ht="12.75" hidden="1" customHeight="1">
      <c r="B1225" s="37"/>
      <c r="C1225" s="37"/>
      <c r="D1225" s="38"/>
      <c r="E1225" s="38"/>
      <c r="F1225" s="39"/>
      <c r="K1225" s="5"/>
      <c r="L1225" s="5"/>
      <c r="M1225" s="5"/>
      <c r="N1225" s="5"/>
      <c r="O1225" s="5"/>
      <c r="P1225" s="5"/>
    </row>
    <row r="1226" spans="2:16" s="8" customFormat="1" ht="12.75" hidden="1" customHeight="1">
      <c r="B1226" s="37"/>
      <c r="C1226" s="37"/>
      <c r="D1226" s="38"/>
      <c r="E1226" s="38"/>
      <c r="F1226" s="39"/>
      <c r="K1226" s="5"/>
      <c r="L1226" s="5"/>
      <c r="M1226" s="5"/>
      <c r="N1226" s="5"/>
      <c r="O1226" s="5"/>
      <c r="P1226" s="5"/>
    </row>
    <row r="1227" spans="2:16" s="8" customFormat="1" ht="12.75" hidden="1" customHeight="1">
      <c r="B1227" s="37"/>
      <c r="C1227" s="37"/>
      <c r="D1227" s="38"/>
      <c r="E1227" s="38"/>
      <c r="F1227" s="39"/>
      <c r="K1227" s="5"/>
      <c r="L1227" s="5"/>
      <c r="M1227" s="5"/>
      <c r="N1227" s="5"/>
      <c r="O1227" s="5"/>
      <c r="P1227" s="5"/>
    </row>
    <row r="1228" spans="2:16" s="8" customFormat="1" ht="12.75" hidden="1" customHeight="1">
      <c r="B1228" s="37"/>
      <c r="C1228" s="37"/>
      <c r="D1228" s="38"/>
      <c r="E1228" s="38"/>
      <c r="F1228" s="39"/>
      <c r="K1228" s="5"/>
      <c r="L1228" s="5"/>
      <c r="M1228" s="5"/>
      <c r="N1228" s="5"/>
      <c r="O1228" s="5"/>
      <c r="P1228" s="5"/>
    </row>
    <row r="1229" spans="2:16" s="8" customFormat="1" ht="12.75" hidden="1" customHeight="1">
      <c r="B1229" s="37"/>
      <c r="C1229" s="37"/>
      <c r="D1229" s="38"/>
      <c r="E1229" s="38"/>
      <c r="F1229" s="39"/>
      <c r="K1229" s="5"/>
      <c r="L1229" s="5"/>
      <c r="M1229" s="5"/>
      <c r="N1229" s="5"/>
      <c r="O1229" s="5"/>
      <c r="P1229" s="5"/>
    </row>
    <row r="1230" spans="2:16" s="8" customFormat="1" ht="12.75" hidden="1" customHeight="1">
      <c r="B1230" s="37"/>
      <c r="C1230" s="37"/>
      <c r="D1230" s="38"/>
      <c r="E1230" s="38"/>
      <c r="F1230" s="39"/>
      <c r="K1230" s="5"/>
      <c r="L1230" s="5"/>
      <c r="M1230" s="5"/>
      <c r="N1230" s="5"/>
      <c r="O1230" s="5"/>
      <c r="P1230" s="5"/>
    </row>
    <row r="1231" spans="2:16" s="8" customFormat="1" ht="12.75" hidden="1" customHeight="1">
      <c r="B1231" s="37"/>
      <c r="C1231" s="37"/>
      <c r="D1231" s="38"/>
      <c r="E1231" s="38"/>
      <c r="F1231" s="39"/>
      <c r="K1231" s="5"/>
      <c r="L1231" s="5"/>
      <c r="M1231" s="5"/>
      <c r="N1231" s="5"/>
      <c r="O1231" s="5"/>
      <c r="P1231" s="5"/>
    </row>
    <row r="1232" spans="2:16" s="8" customFormat="1" ht="12.75" hidden="1" customHeight="1">
      <c r="B1232" s="37"/>
      <c r="C1232" s="37"/>
      <c r="D1232" s="38"/>
      <c r="E1232" s="38"/>
      <c r="F1232" s="39"/>
      <c r="K1232" s="5"/>
      <c r="L1232" s="5"/>
      <c r="M1232" s="5"/>
      <c r="N1232" s="5"/>
      <c r="O1232" s="5"/>
      <c r="P1232" s="5"/>
    </row>
    <row r="1233" spans="2:16" s="8" customFormat="1" ht="12.75" hidden="1" customHeight="1">
      <c r="B1233" s="37"/>
      <c r="C1233" s="37"/>
      <c r="D1233" s="38"/>
      <c r="E1233" s="38"/>
      <c r="F1233" s="39"/>
      <c r="K1233" s="5"/>
      <c r="L1233" s="5"/>
      <c r="M1233" s="5"/>
      <c r="N1233" s="5"/>
      <c r="O1233" s="5"/>
      <c r="P1233" s="5"/>
    </row>
    <row r="1234" spans="2:16" s="8" customFormat="1" ht="12.75" hidden="1" customHeight="1">
      <c r="B1234" s="37"/>
      <c r="C1234" s="37"/>
      <c r="D1234" s="38"/>
      <c r="E1234" s="38"/>
      <c r="F1234" s="39"/>
      <c r="K1234" s="5"/>
      <c r="L1234" s="5"/>
      <c r="M1234" s="5"/>
      <c r="N1234" s="5"/>
      <c r="O1234" s="5"/>
      <c r="P1234" s="5"/>
    </row>
    <row r="1235" spans="2:16" s="8" customFormat="1" ht="12.75" hidden="1" customHeight="1">
      <c r="B1235" s="37"/>
      <c r="C1235" s="37"/>
      <c r="D1235" s="38"/>
      <c r="E1235" s="38"/>
      <c r="F1235" s="39"/>
      <c r="K1235" s="5"/>
      <c r="L1235" s="5"/>
      <c r="M1235" s="5"/>
      <c r="N1235" s="5"/>
      <c r="O1235" s="5"/>
      <c r="P1235" s="5"/>
    </row>
    <row r="1236" spans="2:16" s="8" customFormat="1" ht="12.75" hidden="1" customHeight="1">
      <c r="B1236" s="37"/>
      <c r="C1236" s="37"/>
      <c r="D1236" s="38"/>
      <c r="E1236" s="38"/>
      <c r="F1236" s="39"/>
      <c r="K1236" s="5"/>
      <c r="L1236" s="5"/>
      <c r="M1236" s="5"/>
      <c r="N1236" s="5"/>
      <c r="O1236" s="5"/>
      <c r="P1236" s="5"/>
    </row>
    <row r="1237" spans="2:16" s="8" customFormat="1" ht="12.75" hidden="1" customHeight="1">
      <c r="B1237" s="37"/>
      <c r="C1237" s="37"/>
      <c r="D1237" s="38"/>
      <c r="E1237" s="38"/>
      <c r="F1237" s="39"/>
      <c r="K1237" s="5"/>
      <c r="L1237" s="5"/>
      <c r="M1237" s="5"/>
      <c r="N1237" s="5"/>
      <c r="O1237" s="5"/>
      <c r="P1237" s="5"/>
    </row>
    <row r="1238" spans="2:16" s="8" customFormat="1" ht="12.75" hidden="1" customHeight="1">
      <c r="B1238" s="37"/>
      <c r="C1238" s="37"/>
      <c r="D1238" s="38"/>
      <c r="E1238" s="38"/>
      <c r="F1238" s="39"/>
      <c r="K1238" s="5"/>
      <c r="L1238" s="5"/>
      <c r="M1238" s="5"/>
      <c r="N1238" s="5"/>
      <c r="O1238" s="5"/>
      <c r="P1238" s="5"/>
    </row>
    <row r="1239" spans="2:16" s="8" customFormat="1" ht="12.75" hidden="1" customHeight="1">
      <c r="B1239" s="37"/>
      <c r="C1239" s="37"/>
      <c r="D1239" s="38"/>
      <c r="E1239" s="38"/>
      <c r="F1239" s="39"/>
      <c r="K1239" s="5"/>
      <c r="L1239" s="5"/>
      <c r="M1239" s="5"/>
      <c r="N1239" s="5"/>
      <c r="O1239" s="5"/>
      <c r="P1239" s="5"/>
    </row>
    <row r="1240" spans="2:16" s="8" customFormat="1" ht="12.75" hidden="1" customHeight="1">
      <c r="B1240" s="37"/>
      <c r="C1240" s="37"/>
      <c r="D1240" s="38"/>
      <c r="E1240" s="38"/>
      <c r="F1240" s="39"/>
      <c r="K1240" s="5"/>
      <c r="L1240" s="5"/>
      <c r="M1240" s="5"/>
      <c r="N1240" s="5"/>
      <c r="O1240" s="5"/>
      <c r="P1240" s="5"/>
    </row>
    <row r="1241" spans="2:16" s="8" customFormat="1" ht="12.75" hidden="1" customHeight="1">
      <c r="B1241" s="37"/>
      <c r="C1241" s="37"/>
      <c r="D1241" s="38"/>
      <c r="E1241" s="38"/>
      <c r="F1241" s="39"/>
      <c r="K1241" s="5"/>
      <c r="L1241" s="5"/>
      <c r="M1241" s="5"/>
      <c r="N1241" s="5"/>
      <c r="O1241" s="5"/>
      <c r="P1241" s="5"/>
    </row>
    <row r="1242" spans="2:16" s="8" customFormat="1" ht="12.75" hidden="1" customHeight="1">
      <c r="B1242" s="37"/>
      <c r="C1242" s="37"/>
      <c r="D1242" s="38"/>
      <c r="E1242" s="38"/>
      <c r="F1242" s="39"/>
      <c r="K1242" s="5"/>
      <c r="L1242" s="5"/>
      <c r="M1242" s="5"/>
      <c r="N1242" s="5"/>
      <c r="O1242" s="5"/>
      <c r="P1242" s="5"/>
    </row>
    <row r="1243" spans="2:16" s="8" customFormat="1" ht="12.75" hidden="1" customHeight="1">
      <c r="B1243" s="37"/>
      <c r="C1243" s="37"/>
      <c r="D1243" s="38"/>
      <c r="E1243" s="38"/>
      <c r="F1243" s="39"/>
      <c r="K1243" s="5"/>
      <c r="L1243" s="5"/>
      <c r="M1243" s="5"/>
      <c r="N1243" s="5"/>
      <c r="O1243" s="5"/>
      <c r="P1243" s="5"/>
    </row>
    <row r="1244" spans="2:16" s="8" customFormat="1" ht="12.75" hidden="1" customHeight="1">
      <c r="B1244" s="37"/>
      <c r="C1244" s="37"/>
      <c r="D1244" s="38"/>
      <c r="E1244" s="38"/>
      <c r="F1244" s="39"/>
      <c r="K1244" s="5"/>
      <c r="L1244" s="5"/>
      <c r="M1244" s="5"/>
      <c r="N1244" s="5"/>
      <c r="O1244" s="5"/>
      <c r="P1244" s="5"/>
    </row>
    <row r="1245" spans="2:16" s="8" customFormat="1" ht="12.75" hidden="1" customHeight="1">
      <c r="B1245" s="37"/>
      <c r="C1245" s="37"/>
      <c r="D1245" s="38"/>
      <c r="E1245" s="38"/>
      <c r="F1245" s="39"/>
      <c r="K1245" s="5"/>
      <c r="L1245" s="5"/>
      <c r="M1245" s="5"/>
      <c r="N1245" s="5"/>
      <c r="O1245" s="5"/>
      <c r="P1245" s="5"/>
    </row>
    <row r="1246" spans="2:16" s="8" customFormat="1" ht="12.75" hidden="1" customHeight="1">
      <c r="B1246" s="37"/>
      <c r="C1246" s="37"/>
      <c r="D1246" s="38"/>
      <c r="E1246" s="38"/>
      <c r="F1246" s="39"/>
      <c r="K1246" s="5"/>
      <c r="L1246" s="5"/>
      <c r="M1246" s="5"/>
      <c r="N1246" s="5"/>
      <c r="O1246" s="5"/>
      <c r="P1246" s="5"/>
    </row>
    <row r="1247" spans="2:16" s="8" customFormat="1" ht="12.75" hidden="1" customHeight="1">
      <c r="B1247" s="37"/>
      <c r="C1247" s="37"/>
      <c r="D1247" s="38"/>
      <c r="E1247" s="38"/>
      <c r="F1247" s="39"/>
      <c r="K1247" s="5"/>
      <c r="L1247" s="5"/>
      <c r="M1247" s="5"/>
      <c r="N1247" s="5"/>
      <c r="O1247" s="5"/>
      <c r="P1247" s="5"/>
    </row>
    <row r="1248" spans="2:16" s="8" customFormat="1" ht="12.75" hidden="1" customHeight="1">
      <c r="B1248" s="37"/>
      <c r="C1248" s="37"/>
      <c r="D1248" s="38"/>
      <c r="E1248" s="38"/>
      <c r="F1248" s="39"/>
      <c r="K1248" s="5"/>
      <c r="L1248" s="5"/>
      <c r="M1248" s="5"/>
      <c r="N1248" s="5"/>
      <c r="O1248" s="5"/>
      <c r="P1248" s="5"/>
    </row>
    <row r="1249" spans="2:16" s="8" customFormat="1" ht="12.75" hidden="1" customHeight="1">
      <c r="B1249" s="37"/>
      <c r="C1249" s="37"/>
      <c r="D1249" s="38"/>
      <c r="E1249" s="38"/>
      <c r="F1249" s="39"/>
      <c r="K1249" s="5"/>
      <c r="L1249" s="5"/>
      <c r="M1249" s="5"/>
      <c r="N1249" s="5"/>
      <c r="O1249" s="5"/>
      <c r="P1249" s="5"/>
    </row>
    <row r="1250" spans="2:16" s="8" customFormat="1" ht="12.75" hidden="1" customHeight="1">
      <c r="B1250" s="37"/>
      <c r="C1250" s="37"/>
      <c r="D1250" s="38"/>
      <c r="E1250" s="38"/>
      <c r="F1250" s="39"/>
      <c r="K1250" s="5"/>
      <c r="L1250" s="5"/>
      <c r="M1250" s="5"/>
      <c r="N1250" s="5"/>
      <c r="O1250" s="5"/>
      <c r="P1250" s="5"/>
    </row>
    <row r="1251" spans="2:16" s="8" customFormat="1" ht="12.75" hidden="1" customHeight="1">
      <c r="B1251" s="37"/>
      <c r="C1251" s="37"/>
      <c r="D1251" s="38"/>
      <c r="E1251" s="38"/>
      <c r="F1251" s="39"/>
      <c r="K1251" s="5"/>
      <c r="L1251" s="5"/>
      <c r="M1251" s="5"/>
      <c r="N1251" s="5"/>
      <c r="O1251" s="5"/>
      <c r="P1251" s="5"/>
    </row>
    <row r="1252" spans="2:16" s="8" customFormat="1" ht="12.75" hidden="1" customHeight="1">
      <c r="B1252" s="37"/>
      <c r="C1252" s="37"/>
      <c r="D1252" s="38"/>
      <c r="E1252" s="38"/>
      <c r="F1252" s="39"/>
      <c r="K1252" s="5"/>
      <c r="L1252" s="5"/>
      <c r="M1252" s="5"/>
      <c r="N1252" s="5"/>
      <c r="O1252" s="5"/>
      <c r="P1252" s="5"/>
    </row>
    <row r="1253" spans="2:16" s="8" customFormat="1" ht="12.75" hidden="1" customHeight="1">
      <c r="B1253" s="37"/>
      <c r="C1253" s="37"/>
      <c r="D1253" s="38"/>
      <c r="E1253" s="38"/>
      <c r="F1253" s="39"/>
      <c r="K1253" s="5"/>
      <c r="L1253" s="5"/>
      <c r="M1253" s="5"/>
      <c r="N1253" s="5"/>
      <c r="O1253" s="5"/>
      <c r="P1253" s="5"/>
    </row>
    <row r="1254" spans="2:16" s="8" customFormat="1" ht="12.75" hidden="1" customHeight="1">
      <c r="B1254" s="37"/>
      <c r="C1254" s="37"/>
      <c r="D1254" s="38"/>
      <c r="E1254" s="38"/>
      <c r="F1254" s="39"/>
      <c r="K1254" s="5"/>
      <c r="L1254" s="5"/>
      <c r="M1254" s="5"/>
      <c r="N1254" s="5"/>
      <c r="O1254" s="5"/>
      <c r="P1254" s="5"/>
    </row>
    <row r="1255" spans="2:16" s="8" customFormat="1" ht="12.75" hidden="1" customHeight="1">
      <c r="B1255" s="37"/>
      <c r="C1255" s="37"/>
      <c r="D1255" s="38"/>
      <c r="E1255" s="38"/>
      <c r="F1255" s="39"/>
      <c r="K1255" s="5"/>
      <c r="L1255" s="5"/>
      <c r="M1255" s="5"/>
      <c r="N1255" s="5"/>
      <c r="O1255" s="5"/>
      <c r="P1255" s="5"/>
    </row>
    <row r="1256" spans="2:16" s="8" customFormat="1" ht="12.75" hidden="1" customHeight="1">
      <c r="B1256" s="37"/>
      <c r="C1256" s="37"/>
      <c r="D1256" s="38"/>
      <c r="E1256" s="38"/>
      <c r="F1256" s="39"/>
      <c r="K1256" s="5"/>
      <c r="L1256" s="5"/>
      <c r="M1256" s="5"/>
      <c r="N1256" s="5"/>
      <c r="O1256" s="5"/>
      <c r="P1256" s="5"/>
    </row>
    <row r="1257" spans="2:16" s="8" customFormat="1" ht="12.75" hidden="1" customHeight="1">
      <c r="B1257" s="37"/>
      <c r="C1257" s="37"/>
      <c r="D1257" s="38"/>
      <c r="E1257" s="38"/>
      <c r="F1257" s="39"/>
      <c r="K1257" s="5"/>
      <c r="L1257" s="5"/>
      <c r="M1257" s="5"/>
      <c r="N1257" s="5"/>
      <c r="O1257" s="5"/>
      <c r="P1257" s="5"/>
    </row>
    <row r="1258" spans="2:16" s="8" customFormat="1" ht="12.75" hidden="1" customHeight="1">
      <c r="B1258" s="37"/>
      <c r="C1258" s="37"/>
      <c r="D1258" s="38"/>
      <c r="E1258" s="38"/>
      <c r="F1258" s="39"/>
      <c r="K1258" s="5"/>
      <c r="L1258" s="5"/>
      <c r="M1258" s="5"/>
      <c r="N1258" s="5"/>
      <c r="O1258" s="5"/>
      <c r="P1258" s="5"/>
    </row>
    <row r="1259" spans="2:16" s="8" customFormat="1" ht="12.75" hidden="1" customHeight="1">
      <c r="B1259" s="37"/>
      <c r="C1259" s="37"/>
      <c r="D1259" s="38"/>
      <c r="E1259" s="38"/>
      <c r="F1259" s="39"/>
      <c r="K1259" s="5"/>
      <c r="L1259" s="5"/>
      <c r="M1259" s="5"/>
      <c r="N1259" s="5"/>
      <c r="O1259" s="5"/>
      <c r="P1259" s="5"/>
    </row>
    <row r="1260" spans="2:16" s="8" customFormat="1" ht="12.75" hidden="1" customHeight="1">
      <c r="B1260" s="37"/>
      <c r="C1260" s="37"/>
      <c r="D1260" s="38"/>
      <c r="E1260" s="38"/>
      <c r="F1260" s="39"/>
      <c r="K1260" s="5"/>
      <c r="L1260" s="5"/>
      <c r="M1260" s="5"/>
      <c r="N1260" s="5"/>
      <c r="O1260" s="5"/>
      <c r="P1260" s="5"/>
    </row>
    <row r="1261" spans="2:16" s="8" customFormat="1" ht="12.75" hidden="1" customHeight="1">
      <c r="B1261" s="37"/>
      <c r="C1261" s="37"/>
      <c r="D1261" s="38"/>
      <c r="E1261" s="38"/>
      <c r="F1261" s="39"/>
      <c r="K1261" s="5"/>
      <c r="L1261" s="5"/>
      <c r="M1261" s="5"/>
      <c r="N1261" s="5"/>
      <c r="O1261" s="5"/>
      <c r="P1261" s="5"/>
    </row>
    <row r="1262" spans="2:16" s="8" customFormat="1" ht="12.75" hidden="1" customHeight="1">
      <c r="B1262" s="37"/>
      <c r="C1262" s="37"/>
      <c r="D1262" s="38"/>
      <c r="E1262" s="38"/>
      <c r="F1262" s="39"/>
      <c r="K1262" s="5"/>
      <c r="L1262" s="5"/>
      <c r="M1262" s="5"/>
      <c r="N1262" s="5"/>
      <c r="O1262" s="5"/>
      <c r="P1262" s="5"/>
    </row>
    <row r="1263" spans="2:16" s="8" customFormat="1" ht="12.75" hidden="1" customHeight="1">
      <c r="B1263" s="37"/>
      <c r="C1263" s="37"/>
      <c r="D1263" s="38"/>
      <c r="E1263" s="38"/>
      <c r="F1263" s="39"/>
      <c r="K1263" s="5"/>
      <c r="L1263" s="5"/>
      <c r="M1263" s="5"/>
      <c r="N1263" s="5"/>
      <c r="O1263" s="5"/>
      <c r="P1263" s="5"/>
    </row>
    <row r="1264" spans="2:16" s="8" customFormat="1" ht="12.75" hidden="1" customHeight="1">
      <c r="B1264" s="37"/>
      <c r="C1264" s="37"/>
      <c r="D1264" s="38"/>
      <c r="E1264" s="38"/>
      <c r="F1264" s="39"/>
      <c r="K1264" s="5"/>
      <c r="L1264" s="5"/>
      <c r="M1264" s="5"/>
      <c r="N1264" s="5"/>
      <c r="O1264" s="5"/>
      <c r="P1264" s="5"/>
    </row>
    <row r="1265" spans="2:16" s="8" customFormat="1" ht="12.75" hidden="1" customHeight="1">
      <c r="B1265" s="37"/>
      <c r="C1265" s="37"/>
      <c r="D1265" s="38"/>
      <c r="E1265" s="38"/>
      <c r="F1265" s="39"/>
      <c r="K1265" s="5"/>
      <c r="L1265" s="5"/>
      <c r="M1265" s="5"/>
      <c r="N1265" s="5"/>
      <c r="O1265" s="5"/>
      <c r="P1265" s="5"/>
    </row>
    <row r="1266" spans="2:16" s="8" customFormat="1" ht="12.75" hidden="1" customHeight="1">
      <c r="B1266" s="37"/>
      <c r="C1266" s="37"/>
      <c r="D1266" s="38"/>
      <c r="E1266" s="38"/>
      <c r="F1266" s="39"/>
      <c r="K1266" s="5"/>
      <c r="L1266" s="5"/>
      <c r="M1266" s="5"/>
      <c r="N1266" s="5"/>
      <c r="O1266" s="5"/>
      <c r="P1266" s="5"/>
    </row>
    <row r="1267" spans="2:16" s="8" customFormat="1" ht="12.75" hidden="1" customHeight="1">
      <c r="B1267" s="37"/>
      <c r="C1267" s="37"/>
      <c r="D1267" s="38"/>
      <c r="E1267" s="38"/>
      <c r="F1267" s="39"/>
      <c r="K1267" s="5"/>
      <c r="L1267" s="5"/>
      <c r="M1267" s="5"/>
      <c r="N1267" s="5"/>
      <c r="O1267" s="5"/>
      <c r="P1267" s="5"/>
    </row>
    <row r="1268" spans="2:16" s="8" customFormat="1" ht="12.75" hidden="1" customHeight="1">
      <c r="B1268" s="37"/>
      <c r="C1268" s="37"/>
      <c r="D1268" s="38"/>
      <c r="E1268" s="38"/>
      <c r="F1268" s="39"/>
      <c r="K1268" s="5"/>
      <c r="L1268" s="5"/>
      <c r="M1268" s="5"/>
      <c r="N1268" s="5"/>
      <c r="O1268" s="5"/>
      <c r="P1268" s="5"/>
    </row>
    <row r="1269" spans="2:16" s="8" customFormat="1" ht="12.75" hidden="1" customHeight="1">
      <c r="B1269" s="37"/>
      <c r="C1269" s="37"/>
      <c r="D1269" s="38"/>
      <c r="E1269" s="38"/>
      <c r="F1269" s="39"/>
      <c r="K1269" s="5"/>
      <c r="L1269" s="5"/>
      <c r="M1269" s="5"/>
      <c r="N1269" s="5"/>
      <c r="O1269" s="5"/>
      <c r="P1269" s="5"/>
    </row>
    <row r="1270" spans="2:16" s="8" customFormat="1" ht="12.75" hidden="1" customHeight="1">
      <c r="B1270" s="37"/>
      <c r="C1270" s="37"/>
      <c r="D1270" s="38"/>
      <c r="E1270" s="38"/>
      <c r="F1270" s="39"/>
      <c r="K1270" s="5"/>
      <c r="L1270" s="5"/>
      <c r="M1270" s="5"/>
      <c r="N1270" s="5"/>
      <c r="O1270" s="5"/>
      <c r="P1270" s="5"/>
    </row>
    <row r="1271" spans="2:16" s="8" customFormat="1" ht="12.75" hidden="1" customHeight="1">
      <c r="B1271" s="37"/>
      <c r="C1271" s="37"/>
      <c r="D1271" s="38"/>
      <c r="E1271" s="38"/>
      <c r="F1271" s="39"/>
      <c r="K1271" s="5"/>
      <c r="L1271" s="5"/>
      <c r="M1271" s="5"/>
      <c r="N1271" s="5"/>
      <c r="O1271" s="5"/>
      <c r="P1271" s="5"/>
    </row>
    <row r="1272" spans="2:16" s="8" customFormat="1" ht="12.75" hidden="1" customHeight="1">
      <c r="B1272" s="37"/>
      <c r="C1272" s="37"/>
      <c r="D1272" s="38"/>
      <c r="E1272" s="38"/>
      <c r="F1272" s="39"/>
      <c r="K1272" s="5"/>
      <c r="L1272" s="5"/>
      <c r="M1272" s="5"/>
      <c r="N1272" s="5"/>
      <c r="O1272" s="5"/>
      <c r="P1272" s="5"/>
    </row>
    <row r="1273" spans="2:16" s="8" customFormat="1" ht="12.75" hidden="1" customHeight="1">
      <c r="B1273" s="37"/>
      <c r="C1273" s="37"/>
      <c r="D1273" s="38"/>
      <c r="E1273" s="38"/>
      <c r="F1273" s="39"/>
      <c r="K1273" s="5"/>
      <c r="L1273" s="5"/>
      <c r="M1273" s="5"/>
      <c r="N1273" s="5"/>
      <c r="O1273" s="5"/>
      <c r="P1273" s="5"/>
    </row>
    <row r="1274" spans="2:16" s="8" customFormat="1" ht="12.75" hidden="1" customHeight="1">
      <c r="B1274" s="37"/>
      <c r="C1274" s="37"/>
      <c r="D1274" s="38"/>
      <c r="E1274" s="38"/>
      <c r="F1274" s="39"/>
      <c r="K1274" s="5"/>
      <c r="L1274" s="5"/>
      <c r="M1274" s="5"/>
      <c r="N1274" s="5"/>
      <c r="O1274" s="5"/>
      <c r="P1274" s="5"/>
    </row>
    <row r="1275" spans="2:16" s="8" customFormat="1" ht="12.75" hidden="1" customHeight="1">
      <c r="B1275" s="37"/>
      <c r="C1275" s="37"/>
      <c r="D1275" s="38"/>
      <c r="E1275" s="38"/>
      <c r="F1275" s="39"/>
      <c r="K1275" s="5"/>
      <c r="L1275" s="5"/>
      <c r="M1275" s="5"/>
      <c r="N1275" s="5"/>
      <c r="O1275" s="5"/>
      <c r="P1275" s="5"/>
    </row>
    <row r="1276" spans="2:16" s="8" customFormat="1" ht="12.75" hidden="1" customHeight="1">
      <c r="B1276" s="37"/>
      <c r="C1276" s="37"/>
      <c r="D1276" s="38"/>
      <c r="E1276" s="38"/>
      <c r="F1276" s="39"/>
      <c r="K1276" s="5"/>
      <c r="L1276" s="5"/>
      <c r="M1276" s="5"/>
      <c r="N1276" s="5"/>
      <c r="O1276" s="5"/>
      <c r="P1276" s="5"/>
    </row>
    <row r="1277" spans="2:16" s="8" customFormat="1" ht="12.75" hidden="1" customHeight="1">
      <c r="B1277" s="37"/>
      <c r="C1277" s="37"/>
      <c r="D1277" s="38"/>
      <c r="E1277" s="38"/>
      <c r="F1277" s="39"/>
      <c r="K1277" s="5"/>
      <c r="L1277" s="5"/>
      <c r="M1277" s="5"/>
      <c r="N1277" s="5"/>
      <c r="O1277" s="5"/>
      <c r="P1277" s="5"/>
    </row>
    <row r="1278" spans="2:16" s="8" customFormat="1" ht="12.75" hidden="1" customHeight="1">
      <c r="B1278" s="37"/>
      <c r="C1278" s="37"/>
      <c r="D1278" s="38"/>
      <c r="E1278" s="38"/>
      <c r="F1278" s="39"/>
      <c r="K1278" s="5"/>
      <c r="L1278" s="5"/>
      <c r="M1278" s="5"/>
      <c r="N1278" s="5"/>
      <c r="O1278" s="5"/>
      <c r="P1278" s="5"/>
    </row>
    <row r="1279" spans="2:16" s="8" customFormat="1" ht="12.75" hidden="1" customHeight="1">
      <c r="B1279" s="37"/>
      <c r="C1279" s="37"/>
      <c r="D1279" s="38"/>
      <c r="E1279" s="38"/>
      <c r="F1279" s="39"/>
      <c r="K1279" s="5"/>
      <c r="L1279" s="5"/>
      <c r="M1279" s="5"/>
      <c r="N1279" s="5"/>
      <c r="O1279" s="5"/>
      <c r="P1279" s="5"/>
    </row>
    <row r="1280" spans="2:16" s="8" customFormat="1" ht="12.75" hidden="1" customHeight="1">
      <c r="B1280" s="37"/>
      <c r="C1280" s="37"/>
      <c r="D1280" s="38"/>
      <c r="E1280" s="38"/>
      <c r="F1280" s="39"/>
      <c r="K1280" s="5"/>
      <c r="L1280" s="5"/>
      <c r="M1280" s="5"/>
      <c r="N1280" s="5"/>
      <c r="O1280" s="5"/>
      <c r="P1280" s="5"/>
    </row>
    <row r="1281" spans="2:16" s="8" customFormat="1" ht="12.75" hidden="1" customHeight="1">
      <c r="B1281" s="37"/>
      <c r="C1281" s="37"/>
      <c r="D1281" s="38"/>
      <c r="E1281" s="38"/>
      <c r="F1281" s="39"/>
      <c r="K1281" s="5"/>
      <c r="L1281" s="5"/>
      <c r="M1281" s="5"/>
      <c r="N1281" s="5"/>
      <c r="O1281" s="5"/>
      <c r="P1281" s="5"/>
    </row>
    <row r="1282" spans="2:16" s="8" customFormat="1" ht="12.75" hidden="1" customHeight="1">
      <c r="B1282" s="37"/>
      <c r="C1282" s="37"/>
      <c r="D1282" s="38"/>
      <c r="E1282" s="38"/>
      <c r="F1282" s="39"/>
      <c r="K1282" s="5"/>
      <c r="L1282" s="5"/>
      <c r="M1282" s="5"/>
      <c r="N1282" s="5"/>
      <c r="O1282" s="5"/>
      <c r="P1282" s="5"/>
    </row>
    <row r="1283" spans="2:16" s="8" customFormat="1" ht="12.75" hidden="1" customHeight="1">
      <c r="B1283" s="37"/>
      <c r="C1283" s="37"/>
      <c r="D1283" s="38"/>
      <c r="E1283" s="38"/>
      <c r="F1283" s="39"/>
      <c r="K1283" s="5"/>
      <c r="L1283" s="5"/>
      <c r="M1283" s="5"/>
      <c r="N1283" s="5"/>
      <c r="O1283" s="5"/>
      <c r="P1283" s="5"/>
    </row>
    <row r="1284" spans="2:16" s="8" customFormat="1" ht="12.75" hidden="1" customHeight="1">
      <c r="B1284" s="37"/>
      <c r="C1284" s="37"/>
      <c r="D1284" s="38"/>
      <c r="E1284" s="38"/>
      <c r="F1284" s="39"/>
      <c r="K1284" s="5"/>
      <c r="L1284" s="5"/>
      <c r="M1284" s="5"/>
      <c r="N1284" s="5"/>
      <c r="O1284" s="5"/>
      <c r="P1284" s="5"/>
    </row>
    <row r="1285" spans="2:16" s="8" customFormat="1" ht="12.75" hidden="1" customHeight="1">
      <c r="B1285" s="37"/>
      <c r="C1285" s="37"/>
      <c r="D1285" s="38"/>
      <c r="E1285" s="38"/>
      <c r="F1285" s="39"/>
      <c r="K1285" s="5"/>
      <c r="L1285" s="5"/>
      <c r="M1285" s="5"/>
      <c r="N1285" s="5"/>
      <c r="O1285" s="5"/>
      <c r="P1285" s="5"/>
    </row>
    <row r="1286" spans="2:16" s="8" customFormat="1" ht="12.75" hidden="1" customHeight="1">
      <c r="B1286" s="37"/>
      <c r="C1286" s="37"/>
      <c r="D1286" s="38"/>
      <c r="E1286" s="38"/>
      <c r="F1286" s="39"/>
      <c r="K1286" s="5"/>
      <c r="L1286" s="5"/>
      <c r="M1286" s="5"/>
      <c r="N1286" s="5"/>
      <c r="O1286" s="5"/>
      <c r="P1286" s="5"/>
    </row>
    <row r="1287" spans="2:16" s="8" customFormat="1" ht="12.75" hidden="1" customHeight="1">
      <c r="B1287" s="37"/>
      <c r="C1287" s="37"/>
      <c r="D1287" s="38"/>
      <c r="E1287" s="38"/>
      <c r="F1287" s="39"/>
      <c r="K1287" s="5"/>
      <c r="L1287" s="5"/>
      <c r="M1287" s="5"/>
      <c r="N1287" s="5"/>
      <c r="O1287" s="5"/>
      <c r="P1287" s="5"/>
    </row>
    <row r="1288" spans="2:16" s="8" customFormat="1" ht="12.75" hidden="1" customHeight="1">
      <c r="B1288" s="37"/>
      <c r="C1288" s="37"/>
      <c r="D1288" s="38"/>
      <c r="E1288" s="38"/>
      <c r="F1288" s="39"/>
      <c r="K1288" s="5"/>
      <c r="L1288" s="5"/>
      <c r="M1288" s="5"/>
      <c r="N1288" s="5"/>
      <c r="O1288" s="5"/>
      <c r="P1288" s="5"/>
    </row>
    <row r="1289" spans="2:16" s="8" customFormat="1" ht="12.75" hidden="1" customHeight="1">
      <c r="B1289" s="37"/>
      <c r="C1289" s="37"/>
      <c r="D1289" s="38"/>
      <c r="E1289" s="38"/>
      <c r="F1289" s="39"/>
      <c r="K1289" s="5"/>
      <c r="L1289" s="5"/>
      <c r="M1289" s="5"/>
      <c r="N1289" s="5"/>
      <c r="O1289" s="5"/>
      <c r="P1289" s="5"/>
    </row>
    <row r="1290" spans="2:16" s="8" customFormat="1" ht="12.75" hidden="1" customHeight="1">
      <c r="B1290" s="37"/>
      <c r="C1290" s="37"/>
      <c r="D1290" s="38"/>
      <c r="E1290" s="38"/>
      <c r="F1290" s="39"/>
      <c r="K1290" s="5"/>
      <c r="L1290" s="5"/>
      <c r="M1290" s="5"/>
      <c r="N1290" s="5"/>
      <c r="O1290" s="5"/>
      <c r="P1290" s="5"/>
    </row>
    <row r="1291" spans="2:16" s="8" customFormat="1" ht="12.75" hidden="1" customHeight="1">
      <c r="B1291" s="37"/>
      <c r="C1291" s="37"/>
      <c r="D1291" s="38"/>
      <c r="E1291" s="38"/>
      <c r="F1291" s="39"/>
      <c r="K1291" s="5"/>
      <c r="L1291" s="5"/>
      <c r="M1291" s="5"/>
      <c r="N1291" s="5"/>
      <c r="O1291" s="5"/>
      <c r="P1291" s="5"/>
    </row>
    <row r="1292" spans="2:16" s="8" customFormat="1" ht="12.75" hidden="1" customHeight="1">
      <c r="B1292" s="37"/>
      <c r="C1292" s="37"/>
      <c r="D1292" s="38"/>
      <c r="E1292" s="38"/>
      <c r="F1292" s="39"/>
      <c r="K1292" s="5"/>
      <c r="L1292" s="5"/>
      <c r="M1292" s="5"/>
      <c r="N1292" s="5"/>
      <c r="O1292" s="5"/>
      <c r="P1292" s="5"/>
    </row>
    <row r="1293" spans="2:16" s="8" customFormat="1" ht="12.75" hidden="1" customHeight="1">
      <c r="B1293" s="37"/>
      <c r="C1293" s="37"/>
      <c r="D1293" s="38"/>
      <c r="E1293" s="38"/>
      <c r="F1293" s="39"/>
      <c r="K1293" s="5"/>
      <c r="L1293" s="5"/>
      <c r="M1293" s="5"/>
      <c r="N1293" s="5"/>
      <c r="O1293" s="5"/>
      <c r="P1293" s="5"/>
    </row>
    <row r="1294" spans="2:16" s="8" customFormat="1" ht="12.75" hidden="1" customHeight="1">
      <c r="B1294" s="37"/>
      <c r="C1294" s="37"/>
      <c r="D1294" s="38"/>
      <c r="E1294" s="38"/>
      <c r="F1294" s="39"/>
      <c r="K1294" s="5"/>
      <c r="L1294" s="5"/>
      <c r="M1294" s="5"/>
      <c r="N1294" s="5"/>
      <c r="O1294" s="5"/>
      <c r="P1294" s="5"/>
    </row>
    <row r="1295" spans="2:16" s="8" customFormat="1" ht="12.75" hidden="1" customHeight="1">
      <c r="B1295" s="37"/>
      <c r="C1295" s="37"/>
      <c r="D1295" s="38"/>
      <c r="E1295" s="38"/>
      <c r="F1295" s="39"/>
      <c r="K1295" s="5"/>
      <c r="L1295" s="5"/>
      <c r="M1295" s="5"/>
      <c r="N1295" s="5"/>
      <c r="O1295" s="5"/>
      <c r="P1295" s="5"/>
    </row>
    <row r="1296" spans="2:16" s="8" customFormat="1" ht="12.75" hidden="1" customHeight="1">
      <c r="B1296" s="37"/>
      <c r="C1296" s="37"/>
      <c r="D1296" s="38"/>
      <c r="E1296" s="38"/>
      <c r="F1296" s="39"/>
      <c r="K1296" s="5"/>
      <c r="L1296" s="5"/>
      <c r="M1296" s="5"/>
      <c r="N1296" s="5"/>
      <c r="O1296" s="5"/>
      <c r="P1296" s="5"/>
    </row>
    <row r="1297" spans="2:16" s="8" customFormat="1" ht="12.75" hidden="1" customHeight="1">
      <c r="B1297" s="37"/>
      <c r="C1297" s="37"/>
      <c r="D1297" s="38"/>
      <c r="E1297" s="38"/>
      <c r="F1297" s="39"/>
      <c r="K1297" s="5"/>
      <c r="L1297" s="5"/>
      <c r="M1297" s="5"/>
      <c r="N1297" s="5"/>
      <c r="O1297" s="5"/>
      <c r="P1297" s="5"/>
    </row>
    <row r="1298" spans="2:16" s="8" customFormat="1" ht="12.75" hidden="1" customHeight="1">
      <c r="B1298" s="37"/>
      <c r="C1298" s="37"/>
      <c r="D1298" s="38"/>
      <c r="E1298" s="38"/>
      <c r="F1298" s="39"/>
      <c r="K1298" s="5"/>
      <c r="L1298" s="5"/>
      <c r="M1298" s="5"/>
      <c r="N1298" s="5"/>
      <c r="O1298" s="5"/>
      <c r="P1298" s="5"/>
    </row>
    <row r="1299" spans="2:16" s="8" customFormat="1" ht="12.75" hidden="1" customHeight="1">
      <c r="B1299" s="37"/>
      <c r="C1299" s="37"/>
      <c r="D1299" s="38"/>
      <c r="E1299" s="38"/>
      <c r="F1299" s="39"/>
      <c r="K1299" s="5"/>
      <c r="L1299" s="5"/>
      <c r="M1299" s="5"/>
      <c r="N1299" s="5"/>
      <c r="O1299" s="5"/>
      <c r="P1299" s="5"/>
    </row>
    <row r="1300" spans="2:16" s="8" customFormat="1" ht="12.75" hidden="1" customHeight="1">
      <c r="B1300" s="37"/>
      <c r="C1300" s="37"/>
      <c r="D1300" s="38"/>
      <c r="E1300" s="38"/>
      <c r="F1300" s="39"/>
      <c r="K1300" s="5"/>
      <c r="L1300" s="5"/>
      <c r="M1300" s="5"/>
      <c r="N1300" s="5"/>
      <c r="O1300" s="5"/>
      <c r="P1300" s="5"/>
    </row>
    <row r="1301" spans="2:16" s="8" customFormat="1" ht="12.75" hidden="1" customHeight="1">
      <c r="B1301" s="37"/>
      <c r="C1301" s="37"/>
      <c r="D1301" s="38"/>
      <c r="E1301" s="38"/>
      <c r="F1301" s="39"/>
      <c r="K1301" s="5"/>
      <c r="L1301" s="5"/>
      <c r="M1301" s="5"/>
      <c r="N1301" s="5"/>
      <c r="O1301" s="5"/>
      <c r="P1301" s="5"/>
    </row>
    <row r="1302" spans="2:16" s="8" customFormat="1" ht="12.75" hidden="1" customHeight="1">
      <c r="B1302" s="37"/>
      <c r="C1302" s="37"/>
      <c r="D1302" s="38"/>
      <c r="E1302" s="38"/>
      <c r="F1302" s="39"/>
      <c r="K1302" s="5"/>
      <c r="L1302" s="5"/>
      <c r="M1302" s="5"/>
      <c r="N1302" s="5"/>
      <c r="O1302" s="5"/>
      <c r="P1302" s="5"/>
    </row>
    <row r="1303" spans="2:16" s="8" customFormat="1" ht="12.75" hidden="1" customHeight="1">
      <c r="B1303" s="37"/>
      <c r="C1303" s="37"/>
      <c r="D1303" s="38"/>
      <c r="E1303" s="38"/>
      <c r="F1303" s="39"/>
      <c r="K1303" s="5"/>
      <c r="L1303" s="5"/>
      <c r="M1303" s="5"/>
      <c r="N1303" s="5"/>
      <c r="O1303" s="5"/>
      <c r="P1303" s="5"/>
    </row>
    <row r="1304" spans="2:16" s="8" customFormat="1" ht="12.75" hidden="1" customHeight="1">
      <c r="B1304" s="37"/>
      <c r="C1304" s="37"/>
      <c r="D1304" s="38"/>
      <c r="E1304" s="38"/>
      <c r="F1304" s="39"/>
      <c r="K1304" s="5"/>
      <c r="L1304" s="5"/>
      <c r="M1304" s="5"/>
      <c r="N1304" s="5"/>
      <c r="O1304" s="5"/>
      <c r="P1304" s="5"/>
    </row>
    <row r="1305" spans="2:16" s="8" customFormat="1" ht="12.75" hidden="1" customHeight="1">
      <c r="B1305" s="37"/>
      <c r="C1305" s="37"/>
      <c r="D1305" s="38"/>
      <c r="E1305" s="38"/>
      <c r="F1305" s="39"/>
      <c r="K1305" s="5"/>
      <c r="L1305" s="5"/>
      <c r="M1305" s="5"/>
      <c r="N1305" s="5"/>
      <c r="O1305" s="5"/>
      <c r="P1305" s="5"/>
    </row>
    <row r="1306" spans="2:16" s="8" customFormat="1" ht="12.75" hidden="1" customHeight="1">
      <c r="B1306" s="37"/>
      <c r="C1306" s="37"/>
      <c r="D1306" s="38"/>
      <c r="E1306" s="38"/>
      <c r="F1306" s="39"/>
      <c r="K1306" s="5"/>
      <c r="L1306" s="5"/>
      <c r="M1306" s="5"/>
      <c r="N1306" s="5"/>
      <c r="O1306" s="5"/>
      <c r="P1306" s="5"/>
    </row>
    <row r="1307" spans="2:16" s="8" customFormat="1" ht="12.75" hidden="1" customHeight="1">
      <c r="B1307" s="37"/>
      <c r="C1307" s="37"/>
      <c r="D1307" s="38"/>
      <c r="E1307" s="38"/>
      <c r="F1307" s="39"/>
      <c r="K1307" s="5"/>
      <c r="L1307" s="5"/>
      <c r="M1307" s="5"/>
      <c r="N1307" s="5"/>
      <c r="O1307" s="5"/>
      <c r="P1307" s="5"/>
    </row>
    <row r="1308" spans="2:16" s="8" customFormat="1" ht="12.75" hidden="1" customHeight="1">
      <c r="B1308" s="37"/>
      <c r="C1308" s="37"/>
      <c r="D1308" s="38"/>
      <c r="E1308" s="38"/>
      <c r="F1308" s="39"/>
      <c r="K1308" s="5"/>
      <c r="L1308" s="5"/>
      <c r="M1308" s="5"/>
      <c r="N1308" s="5"/>
      <c r="O1308" s="5"/>
      <c r="P1308" s="5"/>
    </row>
    <row r="1309" spans="2:16" s="8" customFormat="1" ht="12.75" hidden="1" customHeight="1">
      <c r="B1309" s="37"/>
      <c r="C1309" s="37"/>
      <c r="D1309" s="38"/>
      <c r="E1309" s="38"/>
      <c r="F1309" s="39"/>
      <c r="K1309" s="5"/>
      <c r="L1309" s="5"/>
      <c r="M1309" s="5"/>
      <c r="N1309" s="5"/>
      <c r="O1309" s="5"/>
      <c r="P1309" s="5"/>
    </row>
    <row r="1310" spans="2:16" s="8" customFormat="1" ht="12.75" hidden="1" customHeight="1">
      <c r="B1310" s="37"/>
      <c r="C1310" s="37"/>
      <c r="D1310" s="38"/>
      <c r="E1310" s="38"/>
      <c r="F1310" s="39"/>
      <c r="K1310" s="5"/>
      <c r="L1310" s="5"/>
      <c r="M1310" s="5"/>
      <c r="N1310" s="5"/>
      <c r="O1310" s="5"/>
      <c r="P1310" s="5"/>
    </row>
    <row r="1311" spans="2:16" s="8" customFormat="1" ht="12.75" hidden="1" customHeight="1">
      <c r="B1311" s="37"/>
      <c r="C1311" s="37"/>
      <c r="D1311" s="38"/>
      <c r="E1311" s="38"/>
      <c r="F1311" s="39"/>
      <c r="K1311" s="5"/>
      <c r="L1311" s="5"/>
      <c r="M1311" s="5"/>
      <c r="N1311" s="5"/>
      <c r="O1311" s="5"/>
      <c r="P1311" s="5"/>
    </row>
    <row r="1312" spans="2:16" s="8" customFormat="1" ht="12.75" hidden="1" customHeight="1">
      <c r="B1312" s="37"/>
      <c r="C1312" s="37"/>
      <c r="D1312" s="38"/>
      <c r="E1312" s="38"/>
      <c r="F1312" s="39"/>
      <c r="K1312" s="5"/>
      <c r="L1312" s="5"/>
      <c r="M1312" s="5"/>
      <c r="N1312" s="5"/>
      <c r="O1312" s="5"/>
      <c r="P1312" s="5"/>
    </row>
    <row r="1313" spans="2:16" s="8" customFormat="1" ht="12.75" hidden="1" customHeight="1">
      <c r="B1313" s="37"/>
      <c r="C1313" s="37"/>
      <c r="D1313" s="38"/>
      <c r="E1313" s="38"/>
      <c r="F1313" s="39"/>
      <c r="K1313" s="5"/>
      <c r="L1313" s="5"/>
      <c r="M1313" s="5"/>
      <c r="N1313" s="5"/>
      <c r="O1313" s="5"/>
      <c r="P1313" s="5"/>
    </row>
    <row r="1314" spans="2:16" s="8" customFormat="1" ht="12.75" hidden="1" customHeight="1">
      <c r="B1314" s="37"/>
      <c r="C1314" s="37"/>
      <c r="D1314" s="38"/>
      <c r="E1314" s="38"/>
      <c r="F1314" s="39"/>
      <c r="K1314" s="5"/>
      <c r="L1314" s="5"/>
      <c r="M1314" s="5"/>
      <c r="N1314" s="5"/>
      <c r="O1314" s="5"/>
      <c r="P1314" s="5"/>
    </row>
    <row r="1315" spans="2:16" s="8" customFormat="1" ht="12.75" hidden="1" customHeight="1">
      <c r="B1315" s="37"/>
      <c r="C1315" s="37"/>
      <c r="D1315" s="38"/>
      <c r="E1315" s="38"/>
      <c r="F1315" s="39"/>
      <c r="K1315" s="5"/>
      <c r="L1315" s="5"/>
      <c r="M1315" s="5"/>
      <c r="N1315" s="5"/>
      <c r="O1315" s="5"/>
      <c r="P1315" s="5"/>
    </row>
    <row r="1316" spans="2:16" s="8" customFormat="1" ht="12.75" hidden="1" customHeight="1">
      <c r="B1316" s="37"/>
      <c r="C1316" s="37"/>
      <c r="D1316" s="38"/>
      <c r="E1316" s="38"/>
      <c r="F1316" s="39"/>
      <c r="K1316" s="5"/>
      <c r="L1316" s="5"/>
      <c r="M1316" s="5"/>
      <c r="N1316" s="5"/>
      <c r="O1316" s="5"/>
      <c r="P1316" s="5"/>
    </row>
    <row r="1317" spans="2:16" s="8" customFormat="1" ht="12.75" hidden="1" customHeight="1">
      <c r="B1317" s="37"/>
      <c r="C1317" s="37"/>
      <c r="D1317" s="38"/>
      <c r="E1317" s="38"/>
      <c r="F1317" s="39"/>
      <c r="K1317" s="5"/>
      <c r="L1317" s="5"/>
      <c r="M1317" s="5"/>
      <c r="N1317" s="5"/>
      <c r="O1317" s="5"/>
      <c r="P1317" s="5"/>
    </row>
    <row r="1318" spans="2:16" s="8" customFormat="1" ht="12.75" hidden="1" customHeight="1">
      <c r="B1318" s="37"/>
      <c r="C1318" s="37"/>
      <c r="D1318" s="38"/>
      <c r="E1318" s="38"/>
      <c r="F1318" s="39"/>
      <c r="K1318" s="5"/>
      <c r="L1318" s="5"/>
      <c r="M1318" s="5"/>
      <c r="N1318" s="5"/>
      <c r="O1318" s="5"/>
      <c r="P1318" s="5"/>
    </row>
    <row r="1319" spans="2:16" s="8" customFormat="1" ht="12.75" hidden="1" customHeight="1">
      <c r="B1319" s="37"/>
      <c r="C1319" s="37"/>
      <c r="D1319" s="38"/>
      <c r="E1319" s="38"/>
      <c r="F1319" s="39"/>
      <c r="K1319" s="5"/>
      <c r="L1319" s="5"/>
      <c r="M1319" s="5"/>
      <c r="N1319" s="5"/>
      <c r="O1319" s="5"/>
      <c r="P1319" s="5"/>
    </row>
    <row r="1320" spans="2:16" s="8" customFormat="1" ht="12.75" hidden="1" customHeight="1">
      <c r="B1320" s="37"/>
      <c r="C1320" s="37"/>
      <c r="D1320" s="38"/>
      <c r="E1320" s="38"/>
      <c r="F1320" s="39"/>
      <c r="K1320" s="5"/>
      <c r="L1320" s="5"/>
      <c r="M1320" s="5"/>
      <c r="N1320" s="5"/>
      <c r="O1320" s="5"/>
      <c r="P1320" s="5"/>
    </row>
    <row r="1321" spans="2:16" s="8" customFormat="1" ht="12.75" hidden="1" customHeight="1">
      <c r="B1321" s="37"/>
      <c r="C1321" s="37"/>
      <c r="D1321" s="38"/>
      <c r="E1321" s="38"/>
      <c r="F1321" s="39"/>
      <c r="K1321" s="5"/>
      <c r="L1321" s="5"/>
      <c r="M1321" s="5"/>
      <c r="N1321" s="5"/>
      <c r="O1321" s="5"/>
      <c r="P1321" s="5"/>
    </row>
    <row r="1322" spans="2:16" s="8" customFormat="1" ht="12.75" hidden="1" customHeight="1">
      <c r="B1322" s="37"/>
      <c r="C1322" s="37"/>
      <c r="D1322" s="38"/>
      <c r="E1322" s="38"/>
      <c r="F1322" s="39"/>
      <c r="K1322" s="5"/>
      <c r="L1322" s="5"/>
      <c r="M1322" s="5"/>
      <c r="N1322" s="5"/>
      <c r="O1322" s="5"/>
      <c r="P1322" s="5"/>
    </row>
    <row r="1323" spans="2:16" s="8" customFormat="1" ht="12.75" hidden="1" customHeight="1">
      <c r="B1323" s="37"/>
      <c r="C1323" s="37"/>
      <c r="D1323" s="38"/>
      <c r="E1323" s="38"/>
      <c r="F1323" s="39"/>
      <c r="K1323" s="5"/>
      <c r="L1323" s="5"/>
      <c r="M1323" s="5"/>
      <c r="N1323" s="5"/>
      <c r="O1323" s="5"/>
      <c r="P1323" s="5"/>
    </row>
    <row r="1324" spans="2:16" s="8" customFormat="1" ht="12.75" hidden="1" customHeight="1">
      <c r="B1324" s="37"/>
      <c r="C1324" s="37"/>
      <c r="D1324" s="38"/>
      <c r="E1324" s="38"/>
      <c r="F1324" s="39"/>
      <c r="K1324" s="5"/>
      <c r="L1324" s="5"/>
      <c r="M1324" s="5"/>
      <c r="N1324" s="5"/>
      <c r="O1324" s="5"/>
      <c r="P1324" s="5"/>
    </row>
    <row r="1325" spans="2:16" s="8" customFormat="1" ht="12.75" hidden="1" customHeight="1">
      <c r="B1325" s="37"/>
      <c r="C1325" s="37"/>
      <c r="D1325" s="38"/>
      <c r="E1325" s="38"/>
      <c r="F1325" s="39"/>
      <c r="K1325" s="5"/>
      <c r="L1325" s="5"/>
      <c r="M1325" s="5"/>
      <c r="N1325" s="5"/>
      <c r="O1325" s="5"/>
      <c r="P1325" s="5"/>
    </row>
    <row r="1326" spans="2:16" s="8" customFormat="1" ht="12.75" hidden="1" customHeight="1">
      <c r="B1326" s="37"/>
      <c r="C1326" s="37"/>
      <c r="D1326" s="38"/>
      <c r="E1326" s="38"/>
      <c r="F1326" s="39"/>
      <c r="K1326" s="5"/>
      <c r="L1326" s="5"/>
      <c r="M1326" s="5"/>
      <c r="N1326" s="5"/>
      <c r="O1326" s="5"/>
      <c r="P1326" s="5"/>
    </row>
    <row r="1327" spans="2:16" s="8" customFormat="1" ht="12.75" hidden="1" customHeight="1">
      <c r="B1327" s="37"/>
      <c r="C1327" s="37"/>
      <c r="D1327" s="38"/>
      <c r="E1327" s="38"/>
      <c r="F1327" s="39"/>
      <c r="K1327" s="5"/>
      <c r="L1327" s="5"/>
      <c r="M1327" s="5"/>
      <c r="N1327" s="5"/>
      <c r="O1327" s="5"/>
      <c r="P1327" s="5"/>
    </row>
    <row r="1328" spans="2:16" s="8" customFormat="1" ht="12.75" hidden="1" customHeight="1">
      <c r="B1328" s="37"/>
      <c r="C1328" s="37"/>
      <c r="D1328" s="38"/>
      <c r="E1328" s="38"/>
      <c r="F1328" s="39"/>
      <c r="K1328" s="5"/>
      <c r="L1328" s="5"/>
      <c r="M1328" s="5"/>
      <c r="N1328" s="5"/>
      <c r="O1328" s="5"/>
      <c r="P1328" s="5"/>
    </row>
    <row r="1329" spans="2:16" s="8" customFormat="1" ht="12.75" hidden="1" customHeight="1">
      <c r="B1329" s="37"/>
      <c r="C1329" s="37"/>
      <c r="D1329" s="38"/>
      <c r="E1329" s="38"/>
      <c r="F1329" s="39"/>
      <c r="K1329" s="5"/>
      <c r="L1329" s="5"/>
      <c r="M1329" s="5"/>
      <c r="N1329" s="5"/>
      <c r="O1329" s="5"/>
      <c r="P1329" s="5"/>
    </row>
    <row r="1330" spans="2:16" s="8" customFormat="1" ht="12.75" hidden="1" customHeight="1">
      <c r="B1330" s="37"/>
      <c r="C1330" s="37"/>
      <c r="D1330" s="38"/>
      <c r="E1330" s="38"/>
      <c r="F1330" s="39"/>
      <c r="K1330" s="5"/>
      <c r="L1330" s="5"/>
      <c r="M1330" s="5"/>
      <c r="N1330" s="5"/>
      <c r="O1330" s="5"/>
      <c r="P1330" s="5"/>
    </row>
    <row r="1331" spans="2:16" s="8" customFormat="1" ht="12.75" hidden="1" customHeight="1">
      <c r="B1331" s="37"/>
      <c r="C1331" s="37"/>
      <c r="D1331" s="38"/>
      <c r="E1331" s="38"/>
      <c r="F1331" s="39"/>
      <c r="K1331" s="5"/>
      <c r="L1331" s="5"/>
      <c r="M1331" s="5"/>
      <c r="N1331" s="5"/>
      <c r="O1331" s="5"/>
      <c r="P1331" s="5"/>
    </row>
    <row r="1332" spans="2:16" s="8" customFormat="1" ht="12.75" hidden="1" customHeight="1">
      <c r="B1332" s="37"/>
      <c r="C1332" s="37"/>
      <c r="D1332" s="38"/>
      <c r="E1332" s="38"/>
      <c r="F1332" s="39"/>
      <c r="K1332" s="5"/>
      <c r="L1332" s="5"/>
      <c r="M1332" s="5"/>
      <c r="N1332" s="5"/>
      <c r="O1332" s="5"/>
      <c r="P1332" s="5"/>
    </row>
    <row r="1333" spans="2:16" s="8" customFormat="1" ht="12.75" hidden="1" customHeight="1">
      <c r="B1333" s="37"/>
      <c r="C1333" s="37"/>
      <c r="D1333" s="38"/>
      <c r="E1333" s="38"/>
      <c r="F1333" s="39"/>
      <c r="K1333" s="5"/>
      <c r="L1333" s="5"/>
      <c r="M1333" s="5"/>
      <c r="N1333" s="5"/>
      <c r="O1333" s="5"/>
      <c r="P1333" s="5"/>
    </row>
    <row r="1334" spans="2:16" s="8" customFormat="1" ht="12.75" hidden="1" customHeight="1">
      <c r="B1334" s="37"/>
      <c r="C1334" s="37"/>
      <c r="D1334" s="38"/>
      <c r="E1334" s="38"/>
      <c r="F1334" s="39"/>
      <c r="K1334" s="5"/>
      <c r="L1334" s="5"/>
      <c r="M1334" s="5"/>
      <c r="N1334" s="5"/>
      <c r="O1334" s="5"/>
      <c r="P1334" s="5"/>
    </row>
    <row r="1335" spans="2:16" s="8" customFormat="1" ht="12.75" hidden="1" customHeight="1">
      <c r="B1335" s="37"/>
      <c r="C1335" s="37"/>
      <c r="D1335" s="38"/>
      <c r="E1335" s="38"/>
      <c r="F1335" s="39"/>
      <c r="K1335" s="5"/>
      <c r="L1335" s="5"/>
      <c r="M1335" s="5"/>
      <c r="N1335" s="5"/>
      <c r="O1335" s="5"/>
      <c r="P1335" s="5"/>
    </row>
    <row r="1336" spans="2:16" s="8" customFormat="1" ht="12.75" hidden="1" customHeight="1">
      <c r="B1336" s="37"/>
      <c r="C1336" s="37"/>
      <c r="D1336" s="38"/>
      <c r="E1336" s="38"/>
      <c r="F1336" s="39"/>
      <c r="K1336" s="5"/>
      <c r="L1336" s="5"/>
      <c r="M1336" s="5"/>
      <c r="N1336" s="5"/>
      <c r="O1336" s="5"/>
      <c r="P1336" s="5"/>
    </row>
    <row r="1337" spans="2:16" s="8" customFormat="1" ht="12.75" hidden="1" customHeight="1">
      <c r="B1337" s="37"/>
      <c r="C1337" s="37"/>
      <c r="D1337" s="38"/>
      <c r="E1337" s="38"/>
      <c r="F1337" s="39"/>
      <c r="K1337" s="5"/>
      <c r="L1337" s="5"/>
      <c r="M1337" s="5"/>
      <c r="N1337" s="5"/>
      <c r="O1337" s="5"/>
      <c r="P1337" s="5"/>
    </row>
    <row r="1338" spans="2:16" s="8" customFormat="1" ht="12.75" hidden="1" customHeight="1">
      <c r="B1338" s="37"/>
      <c r="C1338" s="37"/>
      <c r="D1338" s="38"/>
      <c r="E1338" s="38"/>
      <c r="F1338" s="39"/>
      <c r="K1338" s="5"/>
      <c r="L1338" s="5"/>
      <c r="M1338" s="5"/>
      <c r="N1338" s="5"/>
      <c r="O1338" s="5"/>
      <c r="P1338" s="5"/>
    </row>
    <row r="1339" spans="2:16" s="8" customFormat="1" ht="12.75" hidden="1" customHeight="1">
      <c r="B1339" s="37"/>
      <c r="C1339" s="37"/>
      <c r="D1339" s="38"/>
      <c r="E1339" s="38"/>
      <c r="F1339" s="39"/>
      <c r="K1339" s="5"/>
      <c r="L1339" s="5"/>
      <c r="M1339" s="5"/>
      <c r="N1339" s="5"/>
      <c r="O1339" s="5"/>
      <c r="P1339" s="5"/>
    </row>
    <row r="1340" spans="2:16" s="8" customFormat="1" ht="12.75" hidden="1" customHeight="1">
      <c r="B1340" s="37"/>
      <c r="C1340" s="37"/>
      <c r="D1340" s="38"/>
      <c r="E1340" s="38"/>
      <c r="F1340" s="39"/>
      <c r="K1340" s="5"/>
      <c r="L1340" s="5"/>
      <c r="M1340" s="5"/>
      <c r="N1340" s="5"/>
      <c r="O1340" s="5"/>
      <c r="P1340" s="5"/>
    </row>
    <row r="1341" spans="2:16" s="8" customFormat="1" ht="12.75" hidden="1" customHeight="1">
      <c r="B1341" s="37"/>
      <c r="C1341" s="37"/>
      <c r="D1341" s="38"/>
      <c r="E1341" s="38"/>
      <c r="F1341" s="39"/>
      <c r="K1341" s="5"/>
      <c r="L1341" s="5"/>
      <c r="M1341" s="5"/>
      <c r="N1341" s="5"/>
      <c r="O1341" s="5"/>
      <c r="P1341" s="5"/>
    </row>
    <row r="1342" spans="2:16" s="8" customFormat="1" ht="12.75" hidden="1" customHeight="1">
      <c r="B1342" s="37"/>
      <c r="C1342" s="37"/>
      <c r="D1342" s="38"/>
      <c r="E1342" s="38"/>
      <c r="F1342" s="39"/>
      <c r="K1342" s="5"/>
      <c r="L1342" s="5"/>
      <c r="M1342" s="5"/>
      <c r="N1342" s="5"/>
      <c r="O1342" s="5"/>
      <c r="P1342" s="5"/>
    </row>
    <row r="1343" spans="2:16" s="8" customFormat="1" ht="12.75" hidden="1" customHeight="1">
      <c r="B1343" s="37"/>
      <c r="C1343" s="37"/>
      <c r="D1343" s="38"/>
      <c r="E1343" s="38"/>
      <c r="F1343" s="39"/>
      <c r="K1343" s="5"/>
      <c r="L1343" s="5"/>
      <c r="M1343" s="5"/>
      <c r="N1343" s="5"/>
      <c r="O1343" s="5"/>
      <c r="P1343" s="5"/>
    </row>
    <row r="1344" spans="2:16" s="8" customFormat="1" ht="12.75" hidden="1" customHeight="1">
      <c r="B1344" s="37"/>
      <c r="C1344" s="37"/>
      <c r="D1344" s="38"/>
      <c r="E1344" s="38"/>
      <c r="F1344" s="39"/>
      <c r="K1344" s="5"/>
      <c r="L1344" s="5"/>
      <c r="M1344" s="5"/>
      <c r="N1344" s="5"/>
      <c r="O1344" s="5"/>
      <c r="P1344" s="5"/>
    </row>
    <row r="1345" spans="2:16" s="8" customFormat="1" ht="12.75" hidden="1" customHeight="1">
      <c r="B1345" s="37"/>
      <c r="C1345" s="37"/>
      <c r="D1345" s="38"/>
      <c r="E1345" s="38"/>
      <c r="F1345" s="39"/>
      <c r="K1345" s="5"/>
      <c r="L1345" s="5"/>
      <c r="M1345" s="5"/>
      <c r="N1345" s="5"/>
      <c r="O1345" s="5"/>
      <c r="P1345" s="5"/>
    </row>
    <row r="1346" spans="2:16" s="8" customFormat="1" ht="12.75" hidden="1" customHeight="1">
      <c r="B1346" s="37"/>
      <c r="C1346" s="37"/>
      <c r="D1346" s="38"/>
      <c r="E1346" s="38"/>
      <c r="F1346" s="39"/>
      <c r="K1346" s="5"/>
      <c r="L1346" s="5"/>
      <c r="M1346" s="5"/>
      <c r="N1346" s="5"/>
      <c r="O1346" s="5"/>
      <c r="P1346" s="5"/>
    </row>
    <row r="1347" spans="2:16" s="8" customFormat="1" ht="12.75" hidden="1" customHeight="1">
      <c r="B1347" s="37"/>
      <c r="C1347" s="37"/>
      <c r="D1347" s="38"/>
      <c r="E1347" s="38"/>
      <c r="F1347" s="39"/>
      <c r="K1347" s="5"/>
      <c r="L1347" s="5"/>
      <c r="M1347" s="5"/>
      <c r="N1347" s="5"/>
      <c r="O1347" s="5"/>
      <c r="P1347" s="5"/>
    </row>
    <row r="1348" spans="2:16" s="8" customFormat="1" ht="12.75" hidden="1" customHeight="1">
      <c r="B1348" s="37"/>
      <c r="C1348" s="37"/>
      <c r="D1348" s="38"/>
      <c r="E1348" s="38"/>
      <c r="F1348" s="39"/>
      <c r="K1348" s="5"/>
      <c r="L1348" s="5"/>
      <c r="M1348" s="5"/>
      <c r="N1348" s="5"/>
      <c r="O1348" s="5"/>
      <c r="P1348" s="5"/>
    </row>
    <row r="1349" spans="2:16" s="8" customFormat="1" ht="12.75" hidden="1" customHeight="1">
      <c r="B1349" s="37"/>
      <c r="C1349" s="37"/>
      <c r="D1349" s="38"/>
      <c r="E1349" s="38"/>
      <c r="F1349" s="39"/>
      <c r="K1349" s="5"/>
      <c r="L1349" s="5"/>
      <c r="M1349" s="5"/>
      <c r="N1349" s="5"/>
      <c r="O1349" s="5"/>
      <c r="P1349" s="5"/>
    </row>
    <row r="1350" spans="2:16" s="8" customFormat="1" ht="12.75" hidden="1" customHeight="1">
      <c r="B1350" s="37"/>
      <c r="C1350" s="37"/>
      <c r="D1350" s="38"/>
      <c r="E1350" s="38"/>
      <c r="F1350" s="39"/>
      <c r="K1350" s="5"/>
      <c r="L1350" s="5"/>
      <c r="M1350" s="5"/>
      <c r="N1350" s="5"/>
      <c r="O1350" s="5"/>
      <c r="P1350" s="5"/>
    </row>
    <row r="1351" spans="2:16" s="8" customFormat="1" ht="12.75" hidden="1" customHeight="1">
      <c r="B1351" s="37"/>
      <c r="C1351" s="37"/>
      <c r="D1351" s="38"/>
      <c r="E1351" s="38"/>
      <c r="F1351" s="39"/>
      <c r="K1351" s="5"/>
      <c r="L1351" s="5"/>
      <c r="M1351" s="5"/>
      <c r="N1351" s="5"/>
      <c r="O1351" s="5"/>
      <c r="P1351" s="5"/>
    </row>
    <row r="1352" spans="2:16" s="8" customFormat="1" ht="12.75" hidden="1" customHeight="1">
      <c r="B1352" s="37"/>
      <c r="C1352" s="37"/>
      <c r="D1352" s="38"/>
      <c r="E1352" s="38"/>
      <c r="F1352" s="39"/>
      <c r="K1352" s="5"/>
      <c r="L1352" s="5"/>
      <c r="M1352" s="5"/>
      <c r="N1352" s="5"/>
      <c r="O1352" s="5"/>
      <c r="P1352" s="5"/>
    </row>
    <row r="1353" spans="2:16" s="8" customFormat="1" ht="12.75" hidden="1" customHeight="1">
      <c r="B1353" s="37"/>
      <c r="C1353" s="37"/>
      <c r="D1353" s="38"/>
      <c r="E1353" s="38"/>
      <c r="F1353" s="39"/>
      <c r="K1353" s="5"/>
      <c r="L1353" s="5"/>
      <c r="M1353" s="5"/>
      <c r="N1353" s="5"/>
      <c r="O1353" s="5"/>
      <c r="P1353" s="5"/>
    </row>
    <row r="1354" spans="2:16" s="8" customFormat="1" ht="12.75" hidden="1" customHeight="1">
      <c r="B1354" s="37"/>
      <c r="C1354" s="37"/>
      <c r="D1354" s="38"/>
      <c r="E1354" s="38"/>
      <c r="F1354" s="39"/>
      <c r="K1354" s="5"/>
      <c r="L1354" s="5"/>
      <c r="M1354" s="5"/>
      <c r="N1354" s="5"/>
      <c r="O1354" s="5"/>
      <c r="P1354" s="5"/>
    </row>
    <row r="1355" spans="2:16" s="8" customFormat="1" ht="12.75" hidden="1" customHeight="1">
      <c r="B1355" s="37"/>
      <c r="C1355" s="37"/>
      <c r="D1355" s="38"/>
      <c r="E1355" s="38"/>
      <c r="F1355" s="39"/>
      <c r="K1355" s="5"/>
      <c r="L1355" s="5"/>
      <c r="M1355" s="5"/>
      <c r="N1355" s="5"/>
      <c r="O1355" s="5"/>
      <c r="P1355" s="5"/>
    </row>
    <row r="1356" spans="2:16" s="8" customFormat="1" ht="12.75" hidden="1" customHeight="1">
      <c r="B1356" s="37"/>
      <c r="C1356" s="37"/>
      <c r="D1356" s="38"/>
      <c r="E1356" s="38"/>
      <c r="F1356" s="39"/>
      <c r="K1356" s="5"/>
      <c r="L1356" s="5"/>
      <c r="M1356" s="5"/>
      <c r="N1356" s="5"/>
      <c r="O1356" s="5"/>
      <c r="P1356" s="5"/>
    </row>
    <row r="1357" spans="2:16" s="8" customFormat="1" ht="12.75" hidden="1" customHeight="1">
      <c r="B1357" s="37"/>
      <c r="C1357" s="37"/>
      <c r="D1357" s="38"/>
      <c r="E1357" s="38"/>
      <c r="F1357" s="39"/>
      <c r="K1357" s="5"/>
      <c r="L1357" s="5"/>
      <c r="M1357" s="5"/>
      <c r="N1357" s="5"/>
      <c r="O1357" s="5"/>
      <c r="P1357" s="5"/>
    </row>
    <row r="1358" spans="2:16" s="8" customFormat="1" ht="12.75" hidden="1" customHeight="1">
      <c r="B1358" s="37"/>
      <c r="C1358" s="37"/>
      <c r="D1358" s="38"/>
      <c r="E1358" s="38"/>
      <c r="F1358" s="39"/>
      <c r="K1358" s="5"/>
      <c r="L1358" s="5"/>
      <c r="M1358" s="5"/>
      <c r="N1358" s="5"/>
      <c r="O1358" s="5"/>
      <c r="P1358" s="5"/>
    </row>
    <row r="1359" spans="2:16" s="8" customFormat="1" ht="12.75" hidden="1" customHeight="1">
      <c r="B1359" s="37"/>
      <c r="C1359" s="37"/>
      <c r="D1359" s="38"/>
      <c r="E1359" s="38"/>
      <c r="F1359" s="39"/>
      <c r="K1359" s="5"/>
      <c r="L1359" s="5"/>
      <c r="M1359" s="5"/>
      <c r="N1359" s="5"/>
      <c r="O1359" s="5"/>
      <c r="P1359" s="5"/>
    </row>
    <row r="1360" spans="2:16" s="8" customFormat="1" ht="12.75" hidden="1" customHeight="1">
      <c r="B1360" s="37"/>
      <c r="C1360" s="37"/>
      <c r="D1360" s="38"/>
      <c r="E1360" s="38"/>
      <c r="F1360" s="39"/>
      <c r="K1360" s="5"/>
      <c r="L1360" s="5"/>
      <c r="M1360" s="5"/>
      <c r="N1360" s="5"/>
      <c r="O1360" s="5"/>
      <c r="P1360" s="5"/>
    </row>
    <row r="1361" spans="2:16" s="8" customFormat="1" ht="12.75" hidden="1" customHeight="1">
      <c r="B1361" s="37"/>
      <c r="C1361" s="37"/>
      <c r="D1361" s="38"/>
      <c r="E1361" s="38"/>
      <c r="F1361" s="39"/>
      <c r="K1361" s="5"/>
      <c r="L1361" s="5"/>
      <c r="M1361" s="5"/>
      <c r="N1361" s="5"/>
      <c r="O1361" s="5"/>
      <c r="P1361" s="5"/>
    </row>
    <row r="1362" spans="2:16" s="8" customFormat="1" ht="12.75" hidden="1" customHeight="1">
      <c r="B1362" s="37"/>
      <c r="C1362" s="37"/>
      <c r="D1362" s="38"/>
      <c r="E1362" s="38"/>
      <c r="F1362" s="39"/>
      <c r="K1362" s="5"/>
      <c r="L1362" s="5"/>
      <c r="M1362" s="5"/>
      <c r="N1362" s="5"/>
      <c r="O1362" s="5"/>
      <c r="P1362" s="5"/>
    </row>
    <row r="1363" spans="2:16" s="8" customFormat="1" ht="12.75" hidden="1" customHeight="1">
      <c r="B1363" s="37"/>
      <c r="C1363" s="37"/>
      <c r="D1363" s="38"/>
      <c r="E1363" s="38"/>
      <c r="F1363" s="39"/>
      <c r="K1363" s="5"/>
      <c r="L1363" s="5"/>
      <c r="M1363" s="5"/>
      <c r="N1363" s="5"/>
      <c r="O1363" s="5"/>
      <c r="P1363" s="5"/>
    </row>
    <row r="1364" spans="2:16" s="8" customFormat="1" ht="12.75" hidden="1" customHeight="1">
      <c r="B1364" s="37"/>
      <c r="C1364" s="37"/>
      <c r="D1364" s="38"/>
      <c r="E1364" s="38"/>
      <c r="F1364" s="39"/>
      <c r="K1364" s="5"/>
      <c r="L1364" s="5"/>
      <c r="M1364" s="5"/>
      <c r="N1364" s="5"/>
      <c r="O1364" s="5"/>
      <c r="P1364" s="5"/>
    </row>
    <row r="1365" spans="2:16" s="8" customFormat="1" ht="12.75" hidden="1" customHeight="1">
      <c r="B1365" s="37"/>
      <c r="C1365" s="37"/>
      <c r="D1365" s="38"/>
      <c r="E1365" s="38"/>
      <c r="F1365" s="39"/>
      <c r="K1365" s="5"/>
      <c r="L1365" s="5"/>
      <c r="M1365" s="5"/>
      <c r="N1365" s="5"/>
      <c r="O1365" s="5"/>
      <c r="P1365" s="5"/>
    </row>
    <row r="1366" spans="2:16" s="8" customFormat="1" ht="12.75" hidden="1" customHeight="1">
      <c r="B1366" s="37"/>
      <c r="C1366" s="37"/>
      <c r="D1366" s="38"/>
      <c r="E1366" s="38"/>
      <c r="F1366" s="39"/>
      <c r="K1366" s="5"/>
      <c r="L1366" s="5"/>
      <c r="M1366" s="5"/>
      <c r="N1366" s="5"/>
      <c r="O1366" s="5"/>
      <c r="P1366" s="5"/>
    </row>
    <row r="1367" spans="2:16" s="8" customFormat="1" ht="12.75" hidden="1" customHeight="1">
      <c r="B1367" s="37"/>
      <c r="C1367" s="37"/>
      <c r="D1367" s="38"/>
      <c r="E1367" s="38"/>
      <c r="F1367" s="39"/>
      <c r="K1367" s="5"/>
      <c r="L1367" s="5"/>
      <c r="M1367" s="5"/>
      <c r="N1367" s="5"/>
      <c r="O1367" s="5"/>
      <c r="P1367" s="5"/>
    </row>
    <row r="1368" spans="2:16" s="8" customFormat="1" ht="12.75" hidden="1" customHeight="1">
      <c r="B1368" s="37"/>
      <c r="C1368" s="37"/>
      <c r="D1368" s="38"/>
      <c r="E1368" s="38"/>
      <c r="F1368" s="39"/>
      <c r="K1368" s="5"/>
      <c r="L1368" s="5"/>
      <c r="M1368" s="5"/>
      <c r="N1368" s="5"/>
      <c r="O1368" s="5"/>
      <c r="P1368" s="5"/>
    </row>
    <row r="1369" spans="2:16" s="8" customFormat="1" ht="12.75" hidden="1" customHeight="1">
      <c r="B1369" s="37"/>
      <c r="C1369" s="37"/>
      <c r="D1369" s="38"/>
      <c r="E1369" s="38"/>
      <c r="F1369" s="39"/>
      <c r="K1369" s="5"/>
      <c r="L1369" s="5"/>
      <c r="M1369" s="5"/>
      <c r="N1369" s="5"/>
      <c r="O1369" s="5"/>
      <c r="P1369" s="5"/>
    </row>
    <row r="1370" spans="2:16" s="8" customFormat="1" ht="12.75" hidden="1" customHeight="1">
      <c r="B1370" s="37"/>
      <c r="C1370" s="37"/>
      <c r="D1370" s="38"/>
      <c r="E1370" s="38"/>
      <c r="F1370" s="39"/>
      <c r="K1370" s="5"/>
      <c r="L1370" s="5"/>
      <c r="M1370" s="5"/>
      <c r="N1370" s="5"/>
      <c r="O1370" s="5"/>
      <c r="P1370" s="5"/>
    </row>
    <row r="1371" spans="2:16" s="8" customFormat="1" ht="12.75" hidden="1" customHeight="1">
      <c r="B1371" s="37"/>
      <c r="C1371" s="37"/>
      <c r="D1371" s="38"/>
      <c r="E1371" s="38"/>
      <c r="F1371" s="39"/>
      <c r="K1371" s="5"/>
      <c r="L1371" s="5"/>
      <c r="M1371" s="5"/>
      <c r="N1371" s="5"/>
      <c r="O1371" s="5"/>
      <c r="P1371" s="5"/>
    </row>
    <row r="1372" spans="2:16" s="8" customFormat="1" ht="12.75" hidden="1" customHeight="1">
      <c r="B1372" s="37"/>
      <c r="C1372" s="37"/>
      <c r="D1372" s="38"/>
      <c r="E1372" s="38"/>
      <c r="F1372" s="39"/>
      <c r="K1372" s="5"/>
      <c r="L1372" s="5"/>
      <c r="M1372" s="5"/>
      <c r="N1372" s="5"/>
      <c r="O1372" s="5"/>
      <c r="P1372" s="5"/>
    </row>
    <row r="1373" spans="2:16" s="8" customFormat="1" ht="12.75" hidden="1" customHeight="1">
      <c r="B1373" s="37"/>
      <c r="C1373" s="37"/>
      <c r="D1373" s="38"/>
      <c r="E1373" s="38"/>
      <c r="F1373" s="39"/>
      <c r="K1373" s="5"/>
      <c r="L1373" s="5"/>
      <c r="M1373" s="5"/>
      <c r="N1373" s="5"/>
      <c r="O1373" s="5"/>
      <c r="P1373" s="5"/>
    </row>
    <row r="1374" spans="2:16" s="8" customFormat="1" ht="12.75" hidden="1" customHeight="1">
      <c r="B1374" s="37"/>
      <c r="C1374" s="37"/>
      <c r="D1374" s="38"/>
      <c r="E1374" s="38"/>
      <c r="F1374" s="39"/>
      <c r="K1374" s="5"/>
      <c r="L1374" s="5"/>
      <c r="M1374" s="5"/>
      <c r="N1374" s="5"/>
      <c r="O1374" s="5"/>
      <c r="P1374" s="5"/>
    </row>
    <row r="1375" spans="2:16" s="8" customFormat="1" ht="12.75" hidden="1" customHeight="1">
      <c r="B1375" s="37"/>
      <c r="C1375" s="37"/>
      <c r="D1375" s="38"/>
      <c r="E1375" s="38"/>
      <c r="F1375" s="39"/>
      <c r="K1375" s="5"/>
      <c r="L1375" s="5"/>
      <c r="M1375" s="5"/>
      <c r="N1375" s="5"/>
      <c r="O1375" s="5"/>
      <c r="P1375" s="5"/>
    </row>
    <row r="1376" spans="2:16" s="8" customFormat="1" ht="12.75" hidden="1" customHeight="1">
      <c r="B1376" s="37"/>
      <c r="C1376" s="37"/>
      <c r="D1376" s="38"/>
      <c r="E1376" s="38"/>
      <c r="F1376" s="39"/>
      <c r="K1376" s="5"/>
      <c r="L1376" s="5"/>
      <c r="M1376" s="5"/>
      <c r="N1376" s="5"/>
      <c r="O1376" s="5"/>
      <c r="P1376" s="5"/>
    </row>
    <row r="1377" spans="2:16" s="8" customFormat="1" ht="12.75" hidden="1" customHeight="1">
      <c r="B1377" s="37"/>
      <c r="C1377" s="37"/>
      <c r="D1377" s="38"/>
      <c r="E1377" s="38"/>
      <c r="F1377" s="39"/>
      <c r="K1377" s="5"/>
      <c r="L1377" s="5"/>
      <c r="M1377" s="5"/>
      <c r="N1377" s="5"/>
      <c r="O1377" s="5"/>
      <c r="P1377" s="5"/>
    </row>
    <row r="1378" spans="2:16" s="8" customFormat="1" ht="12.75" hidden="1" customHeight="1">
      <c r="B1378" s="37"/>
      <c r="C1378" s="37"/>
      <c r="D1378" s="38"/>
      <c r="E1378" s="38"/>
      <c r="F1378" s="39"/>
      <c r="K1378" s="5"/>
      <c r="L1378" s="5"/>
      <c r="M1378" s="5"/>
      <c r="N1378" s="5"/>
      <c r="O1378" s="5"/>
      <c r="P1378" s="5"/>
    </row>
    <row r="1379" spans="2:16" s="8" customFormat="1" ht="12.75" hidden="1" customHeight="1">
      <c r="B1379" s="37"/>
      <c r="C1379" s="37"/>
      <c r="D1379" s="38"/>
      <c r="E1379" s="38"/>
      <c r="F1379" s="39"/>
      <c r="K1379" s="5"/>
      <c r="L1379" s="5"/>
      <c r="M1379" s="5"/>
      <c r="N1379" s="5"/>
      <c r="O1379" s="5"/>
      <c r="P1379" s="5"/>
    </row>
    <row r="1380" spans="2:16" s="8" customFormat="1" ht="12.75" hidden="1" customHeight="1">
      <c r="B1380" s="37"/>
      <c r="C1380" s="37"/>
      <c r="D1380" s="38"/>
      <c r="E1380" s="38"/>
      <c r="F1380" s="39"/>
      <c r="K1380" s="5"/>
      <c r="L1380" s="5"/>
      <c r="M1380" s="5"/>
      <c r="N1380" s="5"/>
      <c r="O1380" s="5"/>
      <c r="P1380" s="5"/>
    </row>
    <row r="1381" spans="2:16" s="8" customFormat="1" ht="12.75" hidden="1" customHeight="1">
      <c r="B1381" s="37"/>
      <c r="C1381" s="37"/>
      <c r="D1381" s="38"/>
      <c r="E1381" s="38"/>
      <c r="F1381" s="39"/>
      <c r="K1381" s="5"/>
      <c r="L1381" s="5"/>
      <c r="M1381" s="5"/>
      <c r="N1381" s="5"/>
      <c r="O1381" s="5"/>
      <c r="P1381" s="5"/>
    </row>
    <row r="1382" spans="2:16" s="8" customFormat="1" ht="12.75" hidden="1" customHeight="1">
      <c r="B1382" s="37"/>
      <c r="C1382" s="37"/>
      <c r="D1382" s="38"/>
      <c r="E1382" s="38"/>
      <c r="F1382" s="39"/>
      <c r="K1382" s="5"/>
      <c r="L1382" s="5"/>
      <c r="M1382" s="5"/>
      <c r="N1382" s="5"/>
      <c r="O1382" s="5"/>
      <c r="P1382" s="5"/>
    </row>
    <row r="1383" spans="2:16" s="8" customFormat="1" ht="12.75" hidden="1" customHeight="1">
      <c r="B1383" s="37"/>
      <c r="C1383" s="37"/>
      <c r="D1383" s="38"/>
      <c r="E1383" s="38"/>
      <c r="F1383" s="39"/>
      <c r="K1383" s="5"/>
      <c r="L1383" s="5"/>
      <c r="M1383" s="5"/>
      <c r="N1383" s="5"/>
      <c r="O1383" s="5"/>
      <c r="P1383" s="5"/>
    </row>
    <row r="1384" spans="2:16" s="8" customFormat="1" ht="12.75" hidden="1" customHeight="1">
      <c r="B1384" s="37"/>
      <c r="C1384" s="37"/>
      <c r="D1384" s="38"/>
      <c r="E1384" s="38"/>
      <c r="F1384" s="39"/>
      <c r="K1384" s="5"/>
      <c r="L1384" s="5"/>
      <c r="M1384" s="5"/>
      <c r="N1384" s="5"/>
      <c r="O1384" s="5"/>
      <c r="P1384" s="5"/>
    </row>
    <row r="1385" spans="2:16" s="8" customFormat="1" ht="12.75" hidden="1" customHeight="1">
      <c r="B1385" s="37"/>
      <c r="C1385" s="37"/>
      <c r="D1385" s="38"/>
      <c r="E1385" s="38"/>
      <c r="F1385" s="39"/>
      <c r="K1385" s="5"/>
      <c r="L1385" s="5"/>
      <c r="M1385" s="5"/>
      <c r="N1385" s="5"/>
      <c r="O1385" s="5"/>
      <c r="P1385" s="5"/>
    </row>
    <row r="1386" spans="2:16" s="8" customFormat="1" ht="12.75" hidden="1" customHeight="1">
      <c r="B1386" s="37"/>
      <c r="C1386" s="37"/>
      <c r="D1386" s="38"/>
      <c r="E1386" s="38"/>
      <c r="F1386" s="39"/>
      <c r="K1386" s="5"/>
      <c r="L1386" s="5"/>
      <c r="M1386" s="5"/>
      <c r="N1386" s="5"/>
      <c r="O1386" s="5"/>
      <c r="P1386" s="5"/>
    </row>
    <row r="1387" spans="2:16" s="8" customFormat="1" ht="12.75" hidden="1" customHeight="1">
      <c r="B1387" s="37"/>
      <c r="C1387" s="37"/>
      <c r="D1387" s="38"/>
      <c r="E1387" s="38"/>
      <c r="F1387" s="39"/>
      <c r="K1387" s="5"/>
      <c r="L1387" s="5"/>
      <c r="M1387" s="5"/>
      <c r="N1387" s="5"/>
      <c r="O1387" s="5"/>
      <c r="P1387" s="5"/>
    </row>
    <row r="1388" spans="2:16" s="8" customFormat="1" ht="12.75" hidden="1" customHeight="1">
      <c r="B1388" s="37"/>
      <c r="C1388" s="37"/>
      <c r="D1388" s="38"/>
      <c r="E1388" s="38"/>
      <c r="F1388" s="39"/>
      <c r="K1388" s="5"/>
      <c r="L1388" s="5"/>
      <c r="M1388" s="5"/>
      <c r="N1388" s="5"/>
      <c r="O1388" s="5"/>
      <c r="P1388" s="5"/>
    </row>
    <row r="1389" spans="2:16" s="8" customFormat="1" ht="12.75" hidden="1" customHeight="1">
      <c r="B1389" s="37"/>
      <c r="C1389" s="37"/>
      <c r="D1389" s="38"/>
      <c r="E1389" s="38"/>
      <c r="F1389" s="39"/>
      <c r="K1389" s="5"/>
      <c r="L1389" s="5"/>
      <c r="M1389" s="5"/>
      <c r="N1389" s="5"/>
      <c r="O1389" s="5"/>
      <c r="P1389" s="5"/>
    </row>
    <row r="1390" spans="2:16" s="8" customFormat="1" ht="12.75" hidden="1" customHeight="1">
      <c r="B1390" s="37"/>
      <c r="C1390" s="37"/>
      <c r="D1390" s="38"/>
      <c r="E1390" s="38"/>
      <c r="F1390" s="39"/>
      <c r="K1390" s="5"/>
      <c r="L1390" s="5"/>
      <c r="M1390" s="5"/>
      <c r="N1390" s="5"/>
      <c r="O1390" s="5"/>
      <c r="P1390" s="5"/>
    </row>
    <row r="1391" spans="2:16" s="8" customFormat="1" ht="12.75" hidden="1" customHeight="1">
      <c r="B1391" s="37"/>
      <c r="C1391" s="37"/>
      <c r="D1391" s="38"/>
      <c r="E1391" s="38"/>
      <c r="F1391" s="39"/>
      <c r="K1391" s="5"/>
      <c r="L1391" s="5"/>
      <c r="M1391" s="5"/>
      <c r="N1391" s="5"/>
      <c r="O1391" s="5"/>
      <c r="P1391" s="5"/>
    </row>
    <row r="1392" spans="2:16" s="8" customFormat="1" ht="12.75" hidden="1" customHeight="1">
      <c r="B1392" s="37"/>
      <c r="C1392" s="37"/>
      <c r="D1392" s="38"/>
      <c r="E1392" s="38"/>
      <c r="F1392" s="39"/>
      <c r="K1392" s="5"/>
      <c r="L1392" s="5"/>
      <c r="M1392" s="5"/>
      <c r="N1392" s="5"/>
      <c r="O1392" s="5"/>
      <c r="P1392" s="5"/>
    </row>
    <row r="1393" spans="2:16" s="8" customFormat="1" ht="12.75" hidden="1" customHeight="1">
      <c r="B1393" s="37"/>
      <c r="C1393" s="37"/>
      <c r="D1393" s="38"/>
      <c r="E1393" s="38"/>
      <c r="F1393" s="39"/>
      <c r="K1393" s="5"/>
      <c r="L1393" s="5"/>
      <c r="M1393" s="5"/>
      <c r="N1393" s="5"/>
      <c r="O1393" s="5"/>
      <c r="P1393" s="5"/>
    </row>
    <row r="1394" spans="2:16" s="8" customFormat="1" ht="12.75" hidden="1" customHeight="1">
      <c r="B1394" s="37"/>
      <c r="C1394" s="37"/>
      <c r="D1394" s="38"/>
      <c r="E1394" s="38"/>
      <c r="F1394" s="39"/>
      <c r="K1394" s="5"/>
      <c r="L1394" s="5"/>
      <c r="M1394" s="5"/>
      <c r="N1394" s="5"/>
      <c r="O1394" s="5"/>
      <c r="P1394" s="5"/>
    </row>
    <row r="1395" spans="2:16" s="8" customFormat="1" ht="12.75" hidden="1" customHeight="1">
      <c r="B1395" s="37"/>
      <c r="C1395" s="37"/>
      <c r="D1395" s="38"/>
      <c r="E1395" s="38"/>
      <c r="F1395" s="39"/>
      <c r="K1395" s="5"/>
      <c r="L1395" s="5"/>
      <c r="M1395" s="5"/>
      <c r="N1395" s="5"/>
      <c r="O1395" s="5"/>
      <c r="P1395" s="5"/>
    </row>
    <row r="1396" spans="2:16" s="8" customFormat="1" ht="12.75" hidden="1" customHeight="1">
      <c r="B1396" s="37"/>
      <c r="C1396" s="37"/>
      <c r="D1396" s="38"/>
      <c r="E1396" s="38"/>
      <c r="F1396" s="39"/>
      <c r="K1396" s="5"/>
      <c r="L1396" s="5"/>
      <c r="M1396" s="5"/>
      <c r="N1396" s="5"/>
      <c r="O1396" s="5"/>
      <c r="P1396" s="5"/>
    </row>
    <row r="1397" spans="2:16" s="8" customFormat="1" ht="12.75" hidden="1" customHeight="1">
      <c r="B1397" s="37"/>
      <c r="C1397" s="37"/>
      <c r="D1397" s="38"/>
      <c r="E1397" s="38"/>
      <c r="F1397" s="39"/>
      <c r="K1397" s="5"/>
      <c r="L1397" s="5"/>
      <c r="M1397" s="5"/>
      <c r="N1397" s="5"/>
      <c r="O1397" s="5"/>
      <c r="P1397" s="5"/>
    </row>
    <row r="1398" spans="2:16" s="8" customFormat="1" ht="12.75" hidden="1" customHeight="1">
      <c r="B1398" s="37"/>
      <c r="C1398" s="37"/>
      <c r="D1398" s="38"/>
      <c r="E1398" s="38"/>
      <c r="F1398" s="39"/>
      <c r="K1398" s="5"/>
      <c r="L1398" s="5"/>
      <c r="M1398" s="5"/>
      <c r="N1398" s="5"/>
      <c r="O1398" s="5"/>
      <c r="P1398" s="5"/>
    </row>
    <row r="1399" spans="2:16" s="8" customFormat="1" ht="12.75" hidden="1" customHeight="1">
      <c r="B1399" s="37"/>
      <c r="C1399" s="37"/>
      <c r="D1399" s="38"/>
      <c r="E1399" s="38"/>
      <c r="F1399" s="39"/>
      <c r="K1399" s="5"/>
      <c r="L1399" s="5"/>
      <c r="M1399" s="5"/>
      <c r="N1399" s="5"/>
      <c r="O1399" s="5"/>
      <c r="P1399" s="5"/>
    </row>
    <row r="1400" spans="2:16" s="8" customFormat="1" ht="12.75" hidden="1" customHeight="1">
      <c r="B1400" s="37"/>
      <c r="C1400" s="37"/>
      <c r="D1400" s="38"/>
      <c r="E1400" s="38"/>
      <c r="F1400" s="39"/>
      <c r="K1400" s="5"/>
      <c r="L1400" s="5"/>
      <c r="M1400" s="5"/>
      <c r="N1400" s="5"/>
      <c r="O1400" s="5"/>
      <c r="P1400" s="5"/>
    </row>
    <row r="1401" spans="2:16" s="8" customFormat="1" ht="12.75" hidden="1" customHeight="1">
      <c r="B1401" s="37"/>
      <c r="C1401" s="37"/>
      <c r="D1401" s="38"/>
      <c r="E1401" s="38"/>
      <c r="F1401" s="39"/>
      <c r="K1401" s="5"/>
      <c r="L1401" s="5"/>
      <c r="M1401" s="5"/>
      <c r="N1401" s="5"/>
      <c r="O1401" s="5"/>
      <c r="P1401" s="5"/>
    </row>
    <row r="1402" spans="2:16" s="8" customFormat="1" ht="12.75" hidden="1" customHeight="1">
      <c r="B1402" s="37"/>
      <c r="C1402" s="37"/>
      <c r="D1402" s="38"/>
      <c r="E1402" s="38"/>
      <c r="F1402" s="39"/>
      <c r="K1402" s="5"/>
      <c r="L1402" s="5"/>
      <c r="M1402" s="5"/>
      <c r="N1402" s="5"/>
      <c r="O1402" s="5"/>
      <c r="P1402" s="5"/>
    </row>
    <row r="1403" spans="2:16" s="8" customFormat="1" ht="12.75" hidden="1" customHeight="1">
      <c r="B1403" s="37"/>
      <c r="C1403" s="37"/>
      <c r="D1403" s="38"/>
      <c r="E1403" s="38"/>
      <c r="F1403" s="39"/>
      <c r="K1403" s="5"/>
      <c r="L1403" s="5"/>
      <c r="M1403" s="5"/>
      <c r="N1403" s="5"/>
      <c r="O1403" s="5"/>
      <c r="P1403" s="5"/>
    </row>
    <row r="1404" spans="2:16" s="8" customFormat="1" ht="12.75" hidden="1" customHeight="1">
      <c r="B1404" s="37"/>
      <c r="C1404" s="37"/>
      <c r="D1404" s="38"/>
      <c r="E1404" s="38"/>
      <c r="F1404" s="39"/>
      <c r="K1404" s="5"/>
      <c r="L1404" s="5"/>
      <c r="M1404" s="5"/>
      <c r="N1404" s="5"/>
      <c r="O1404" s="5"/>
      <c r="P1404" s="5"/>
    </row>
    <row r="1405" spans="2:16" s="8" customFormat="1" ht="12.75" hidden="1" customHeight="1">
      <c r="B1405" s="37"/>
      <c r="C1405" s="37"/>
      <c r="D1405" s="38"/>
      <c r="E1405" s="38"/>
      <c r="F1405" s="39"/>
      <c r="K1405" s="5"/>
      <c r="L1405" s="5"/>
      <c r="M1405" s="5"/>
      <c r="N1405" s="5"/>
      <c r="O1405" s="5"/>
      <c r="P1405" s="5"/>
    </row>
    <row r="1406" spans="2:16" s="8" customFormat="1" ht="12.75" hidden="1" customHeight="1">
      <c r="B1406" s="37"/>
      <c r="C1406" s="37"/>
      <c r="D1406" s="38"/>
      <c r="E1406" s="38"/>
      <c r="F1406" s="39"/>
      <c r="K1406" s="5"/>
      <c r="L1406" s="5"/>
      <c r="M1406" s="5"/>
      <c r="N1406" s="5"/>
      <c r="O1406" s="5"/>
      <c r="P1406" s="5"/>
    </row>
    <row r="1407" spans="2:16" s="8" customFormat="1" ht="12.75" hidden="1" customHeight="1">
      <c r="B1407" s="37"/>
      <c r="C1407" s="37"/>
      <c r="D1407" s="38"/>
      <c r="E1407" s="38"/>
      <c r="F1407" s="39"/>
      <c r="K1407" s="5"/>
      <c r="L1407" s="5"/>
      <c r="M1407" s="5"/>
      <c r="N1407" s="5"/>
      <c r="O1407" s="5"/>
      <c r="P1407" s="5"/>
    </row>
    <row r="1408" spans="2:16" s="8" customFormat="1" ht="12.75" hidden="1" customHeight="1">
      <c r="B1408" s="37"/>
      <c r="C1408" s="37"/>
      <c r="D1408" s="38"/>
      <c r="E1408" s="38"/>
      <c r="F1408" s="39"/>
      <c r="K1408" s="5"/>
      <c r="L1408" s="5"/>
      <c r="M1408" s="5"/>
      <c r="N1408" s="5"/>
      <c r="O1408" s="5"/>
      <c r="P1408" s="5"/>
    </row>
    <row r="1409" spans="2:16" s="8" customFormat="1" ht="12.75" hidden="1" customHeight="1">
      <c r="B1409" s="37"/>
      <c r="C1409" s="37"/>
      <c r="D1409" s="38"/>
      <c r="E1409" s="38"/>
      <c r="F1409" s="39"/>
      <c r="K1409" s="5"/>
      <c r="L1409" s="5"/>
      <c r="M1409" s="5"/>
      <c r="N1409" s="5"/>
      <c r="O1409" s="5"/>
      <c r="P1409" s="5"/>
    </row>
    <row r="1410" spans="2:16" s="8" customFormat="1" ht="12.75" hidden="1" customHeight="1">
      <c r="B1410" s="37"/>
      <c r="C1410" s="37"/>
      <c r="D1410" s="38"/>
      <c r="E1410" s="38"/>
      <c r="F1410" s="39"/>
      <c r="K1410" s="5"/>
      <c r="L1410" s="5"/>
      <c r="M1410" s="5"/>
      <c r="N1410" s="5"/>
      <c r="O1410" s="5"/>
      <c r="P1410" s="5"/>
    </row>
    <row r="1411" spans="2:16" s="8" customFormat="1" ht="12.75" hidden="1" customHeight="1">
      <c r="B1411" s="37"/>
      <c r="C1411" s="37"/>
      <c r="D1411" s="38"/>
      <c r="E1411" s="38"/>
      <c r="F1411" s="39"/>
      <c r="K1411" s="5"/>
      <c r="L1411" s="5"/>
      <c r="M1411" s="5"/>
      <c r="N1411" s="5"/>
      <c r="O1411" s="5"/>
      <c r="P1411" s="5"/>
    </row>
    <row r="1412" spans="2:16" s="8" customFormat="1" ht="12.75" hidden="1" customHeight="1">
      <c r="B1412" s="37"/>
      <c r="C1412" s="37"/>
      <c r="D1412" s="38"/>
      <c r="E1412" s="38"/>
      <c r="F1412" s="39"/>
      <c r="K1412" s="5"/>
      <c r="L1412" s="5"/>
      <c r="M1412" s="5"/>
      <c r="N1412" s="5"/>
      <c r="O1412" s="5"/>
      <c r="P1412" s="5"/>
    </row>
    <row r="1413" spans="2:16" s="8" customFormat="1" ht="12.75" hidden="1" customHeight="1">
      <c r="B1413" s="37"/>
      <c r="C1413" s="37"/>
      <c r="D1413" s="38"/>
      <c r="E1413" s="38"/>
      <c r="F1413" s="39"/>
      <c r="K1413" s="5"/>
      <c r="L1413" s="5"/>
      <c r="M1413" s="5"/>
      <c r="N1413" s="5"/>
      <c r="O1413" s="5"/>
      <c r="P1413" s="5"/>
    </row>
    <row r="1414" spans="2:16" s="8" customFormat="1" ht="12.75" hidden="1" customHeight="1">
      <c r="B1414" s="37"/>
      <c r="C1414" s="37"/>
      <c r="D1414" s="38"/>
      <c r="E1414" s="38"/>
      <c r="F1414" s="39"/>
      <c r="K1414" s="5"/>
      <c r="L1414" s="5"/>
      <c r="M1414" s="5"/>
      <c r="N1414" s="5"/>
      <c r="O1414" s="5"/>
      <c r="P1414" s="5"/>
    </row>
    <row r="1415" spans="2:16" s="8" customFormat="1" ht="12.75" hidden="1" customHeight="1">
      <c r="B1415" s="37"/>
      <c r="C1415" s="37"/>
      <c r="D1415" s="38"/>
      <c r="E1415" s="38"/>
      <c r="F1415" s="39"/>
      <c r="K1415" s="5"/>
      <c r="L1415" s="5"/>
      <c r="M1415" s="5"/>
      <c r="N1415" s="5"/>
      <c r="O1415" s="5"/>
      <c r="P1415" s="5"/>
    </row>
    <row r="1416" spans="2:16" s="8" customFormat="1" ht="12.75" hidden="1" customHeight="1">
      <c r="B1416" s="37"/>
      <c r="C1416" s="37"/>
      <c r="D1416" s="38"/>
      <c r="E1416" s="38"/>
      <c r="F1416" s="39"/>
      <c r="K1416" s="5"/>
      <c r="L1416" s="5"/>
      <c r="M1416" s="5"/>
      <c r="N1416" s="5"/>
      <c r="O1416" s="5"/>
      <c r="P1416" s="5"/>
    </row>
    <row r="1417" spans="2:16" s="8" customFormat="1" ht="12.75" hidden="1" customHeight="1">
      <c r="B1417" s="37"/>
      <c r="C1417" s="37"/>
      <c r="D1417" s="38"/>
      <c r="E1417" s="38"/>
      <c r="F1417" s="39"/>
      <c r="K1417" s="5"/>
      <c r="L1417" s="5"/>
      <c r="M1417" s="5"/>
      <c r="N1417" s="5"/>
      <c r="O1417" s="5"/>
      <c r="P1417" s="5"/>
    </row>
    <row r="1418" spans="2:16" s="8" customFormat="1" ht="12.75" hidden="1" customHeight="1">
      <c r="B1418" s="37"/>
      <c r="C1418" s="37"/>
      <c r="D1418" s="38"/>
      <c r="E1418" s="38"/>
      <c r="F1418" s="39"/>
      <c r="K1418" s="5"/>
      <c r="L1418" s="5"/>
      <c r="M1418" s="5"/>
      <c r="N1418" s="5"/>
      <c r="O1418" s="5"/>
      <c r="P1418" s="5"/>
    </row>
    <row r="1419" spans="2:16" s="8" customFormat="1" ht="12.75" hidden="1" customHeight="1">
      <c r="B1419" s="37"/>
      <c r="C1419" s="37"/>
      <c r="D1419" s="38"/>
      <c r="E1419" s="38"/>
      <c r="F1419" s="39"/>
      <c r="K1419" s="5"/>
      <c r="L1419" s="5"/>
      <c r="M1419" s="5"/>
      <c r="N1419" s="5"/>
      <c r="O1419" s="5"/>
      <c r="P1419" s="5"/>
    </row>
    <row r="1420" spans="2:16" s="8" customFormat="1" ht="12.75" hidden="1" customHeight="1">
      <c r="B1420" s="37"/>
      <c r="C1420" s="37"/>
      <c r="D1420" s="38"/>
      <c r="E1420" s="38"/>
      <c r="F1420" s="39"/>
      <c r="K1420" s="5"/>
      <c r="L1420" s="5"/>
      <c r="M1420" s="5"/>
      <c r="N1420" s="5"/>
      <c r="O1420" s="5"/>
      <c r="P1420" s="5"/>
    </row>
    <row r="1421" spans="2:16" s="8" customFormat="1" ht="12.75" hidden="1" customHeight="1">
      <c r="B1421" s="37"/>
      <c r="C1421" s="37"/>
      <c r="D1421" s="38"/>
      <c r="E1421" s="38"/>
      <c r="F1421" s="39"/>
      <c r="K1421" s="5"/>
      <c r="L1421" s="5"/>
      <c r="M1421" s="5"/>
      <c r="N1421" s="5"/>
      <c r="O1421" s="5"/>
      <c r="P1421" s="5"/>
    </row>
    <row r="1422" spans="2:16" s="8" customFormat="1" ht="12.75" hidden="1" customHeight="1">
      <c r="B1422" s="37"/>
      <c r="C1422" s="37"/>
      <c r="D1422" s="38"/>
      <c r="E1422" s="38"/>
      <c r="F1422" s="39"/>
      <c r="K1422" s="5"/>
      <c r="L1422" s="5"/>
      <c r="M1422" s="5"/>
      <c r="N1422" s="5"/>
      <c r="O1422" s="5"/>
      <c r="P1422" s="5"/>
    </row>
    <row r="1423" spans="2:16" s="8" customFormat="1" ht="12.75" hidden="1" customHeight="1">
      <c r="B1423" s="37"/>
      <c r="C1423" s="37"/>
      <c r="D1423" s="38"/>
      <c r="E1423" s="38"/>
      <c r="F1423" s="39"/>
      <c r="K1423" s="5"/>
      <c r="L1423" s="5"/>
      <c r="M1423" s="5"/>
      <c r="N1423" s="5"/>
      <c r="O1423" s="5"/>
      <c r="P1423" s="5"/>
    </row>
    <row r="1424" spans="2:16" s="8" customFormat="1" ht="12.75" hidden="1" customHeight="1">
      <c r="B1424" s="37"/>
      <c r="C1424" s="37"/>
      <c r="D1424" s="38"/>
      <c r="E1424" s="38"/>
      <c r="F1424" s="39"/>
      <c r="K1424" s="5"/>
      <c r="L1424" s="5"/>
      <c r="M1424" s="5"/>
      <c r="N1424" s="5"/>
      <c r="O1424" s="5"/>
      <c r="P1424" s="5"/>
    </row>
    <row r="1425" spans="2:16" s="8" customFormat="1" ht="12.75" hidden="1" customHeight="1">
      <c r="B1425" s="37"/>
      <c r="C1425" s="37"/>
      <c r="D1425" s="38"/>
      <c r="E1425" s="38"/>
      <c r="F1425" s="39"/>
      <c r="K1425" s="5"/>
      <c r="L1425" s="5"/>
      <c r="M1425" s="5"/>
      <c r="N1425" s="5"/>
      <c r="O1425" s="5"/>
      <c r="P1425" s="5"/>
    </row>
    <row r="1426" spans="2:16" s="8" customFormat="1" ht="12.75" hidden="1" customHeight="1">
      <c r="B1426" s="37"/>
      <c r="C1426" s="37"/>
      <c r="D1426" s="38"/>
      <c r="E1426" s="38"/>
      <c r="F1426" s="39"/>
      <c r="K1426" s="5"/>
      <c r="L1426" s="5"/>
      <c r="M1426" s="5"/>
      <c r="N1426" s="5"/>
      <c r="O1426" s="5"/>
      <c r="P1426" s="5"/>
    </row>
    <row r="1427" spans="2:16" s="8" customFormat="1" ht="12.75" hidden="1" customHeight="1">
      <c r="B1427" s="37"/>
      <c r="C1427" s="37"/>
      <c r="D1427" s="38"/>
      <c r="E1427" s="38"/>
      <c r="F1427" s="39"/>
      <c r="K1427" s="5"/>
      <c r="L1427" s="5"/>
      <c r="M1427" s="5"/>
      <c r="N1427" s="5"/>
      <c r="O1427" s="5"/>
      <c r="P1427" s="5"/>
    </row>
    <row r="1428" spans="2:16" s="8" customFormat="1" ht="12.75" hidden="1" customHeight="1">
      <c r="B1428" s="37"/>
      <c r="C1428" s="37"/>
      <c r="D1428" s="38"/>
      <c r="E1428" s="38"/>
      <c r="F1428" s="39"/>
      <c r="K1428" s="5"/>
      <c r="L1428" s="5"/>
      <c r="M1428" s="5"/>
      <c r="N1428" s="5"/>
      <c r="O1428" s="5"/>
      <c r="P1428" s="5"/>
    </row>
    <row r="1429" spans="2:16" s="8" customFormat="1" ht="12.75" hidden="1" customHeight="1">
      <c r="B1429" s="37"/>
      <c r="C1429" s="37"/>
      <c r="D1429" s="38"/>
      <c r="E1429" s="38"/>
      <c r="F1429" s="39"/>
      <c r="K1429" s="5"/>
      <c r="L1429" s="5"/>
      <c r="M1429" s="5"/>
      <c r="N1429" s="5"/>
      <c r="O1429" s="5"/>
      <c r="P1429" s="5"/>
    </row>
    <row r="1430" spans="2:16" s="8" customFormat="1" ht="12.75" hidden="1" customHeight="1">
      <c r="B1430" s="37"/>
      <c r="C1430" s="37"/>
      <c r="D1430" s="38"/>
      <c r="E1430" s="38"/>
      <c r="F1430" s="39"/>
      <c r="K1430" s="5"/>
      <c r="L1430" s="5"/>
      <c r="M1430" s="5"/>
      <c r="N1430" s="5"/>
      <c r="O1430" s="5"/>
      <c r="P1430" s="5"/>
    </row>
    <row r="1431" spans="2:16" s="8" customFormat="1" ht="12.75" hidden="1" customHeight="1">
      <c r="B1431" s="37"/>
      <c r="C1431" s="37"/>
      <c r="D1431" s="38"/>
      <c r="E1431" s="38"/>
      <c r="F1431" s="39"/>
      <c r="K1431" s="5"/>
      <c r="L1431" s="5"/>
      <c r="M1431" s="5"/>
      <c r="N1431" s="5"/>
      <c r="O1431" s="5"/>
      <c r="P1431" s="5"/>
    </row>
    <row r="1432" spans="2:16" s="8" customFormat="1" ht="12.75" hidden="1" customHeight="1">
      <c r="B1432" s="37"/>
      <c r="C1432" s="37"/>
      <c r="D1432" s="38"/>
      <c r="E1432" s="38"/>
      <c r="F1432" s="39"/>
      <c r="K1432" s="5"/>
      <c r="L1432" s="5"/>
      <c r="M1432" s="5"/>
      <c r="N1432" s="5"/>
      <c r="O1432" s="5"/>
      <c r="P1432" s="5"/>
    </row>
    <row r="1433" spans="2:16" s="8" customFormat="1" ht="12.75" hidden="1" customHeight="1">
      <c r="B1433" s="37"/>
      <c r="C1433" s="37"/>
      <c r="D1433" s="38"/>
      <c r="E1433" s="38"/>
      <c r="F1433" s="39"/>
      <c r="K1433" s="5"/>
      <c r="L1433" s="5"/>
      <c r="M1433" s="5"/>
      <c r="N1433" s="5"/>
      <c r="O1433" s="5"/>
      <c r="P1433" s="5"/>
    </row>
    <row r="1434" spans="2:16" s="8" customFormat="1" ht="12.75" hidden="1" customHeight="1">
      <c r="B1434" s="37"/>
      <c r="C1434" s="37"/>
      <c r="D1434" s="38"/>
      <c r="E1434" s="38"/>
      <c r="F1434" s="39"/>
      <c r="K1434" s="5"/>
      <c r="L1434" s="5"/>
      <c r="M1434" s="5"/>
      <c r="N1434" s="5"/>
      <c r="O1434" s="5"/>
      <c r="P1434" s="5"/>
    </row>
    <row r="1435" spans="2:16" s="8" customFormat="1" ht="12.75" hidden="1" customHeight="1">
      <c r="B1435" s="37"/>
      <c r="C1435" s="37"/>
      <c r="D1435" s="38"/>
      <c r="E1435" s="38"/>
      <c r="F1435" s="39"/>
      <c r="K1435" s="5"/>
      <c r="L1435" s="5"/>
      <c r="M1435" s="5"/>
      <c r="N1435" s="5"/>
      <c r="O1435" s="5"/>
      <c r="P1435" s="5"/>
    </row>
    <row r="1436" spans="2:16" s="8" customFormat="1" ht="12.75" hidden="1" customHeight="1">
      <c r="B1436" s="37"/>
      <c r="C1436" s="37"/>
      <c r="D1436" s="38"/>
      <c r="E1436" s="38"/>
      <c r="F1436" s="39"/>
      <c r="K1436" s="5"/>
      <c r="L1436" s="5"/>
      <c r="M1436" s="5"/>
      <c r="N1436" s="5"/>
      <c r="O1436" s="5"/>
      <c r="P1436" s="5"/>
    </row>
    <row r="1437" spans="2:16" s="8" customFormat="1" ht="12.75" hidden="1" customHeight="1">
      <c r="B1437" s="37"/>
      <c r="C1437" s="37"/>
      <c r="D1437" s="38"/>
      <c r="E1437" s="38"/>
      <c r="F1437" s="39"/>
      <c r="K1437" s="5"/>
      <c r="L1437" s="5"/>
      <c r="M1437" s="5"/>
      <c r="N1437" s="5"/>
      <c r="O1437" s="5"/>
      <c r="P1437" s="5"/>
    </row>
    <row r="1438" spans="2:16" s="8" customFormat="1" ht="12.75" hidden="1" customHeight="1">
      <c r="B1438" s="37"/>
      <c r="C1438" s="37"/>
      <c r="D1438" s="38"/>
      <c r="E1438" s="38"/>
      <c r="F1438" s="39"/>
      <c r="K1438" s="5"/>
      <c r="L1438" s="5"/>
      <c r="M1438" s="5"/>
      <c r="N1438" s="5"/>
      <c r="O1438" s="5"/>
      <c r="P1438" s="5"/>
    </row>
    <row r="1439" spans="2:16" s="8" customFormat="1" ht="12.75" hidden="1" customHeight="1">
      <c r="B1439" s="37"/>
      <c r="C1439" s="37"/>
      <c r="D1439" s="38"/>
      <c r="E1439" s="38"/>
      <c r="F1439" s="39"/>
      <c r="K1439" s="5"/>
      <c r="L1439" s="5"/>
      <c r="M1439" s="5"/>
      <c r="N1439" s="5"/>
      <c r="O1439" s="5"/>
      <c r="P1439" s="5"/>
    </row>
    <row r="1440" spans="2:16" s="8" customFormat="1" ht="12.75" hidden="1" customHeight="1">
      <c r="B1440" s="37"/>
      <c r="C1440" s="37"/>
      <c r="D1440" s="38"/>
      <c r="E1440" s="38"/>
      <c r="F1440" s="39"/>
      <c r="K1440" s="5"/>
      <c r="L1440" s="5"/>
      <c r="M1440" s="5"/>
      <c r="N1440" s="5"/>
      <c r="O1440" s="5"/>
      <c r="P1440" s="5"/>
    </row>
    <row r="1441" spans="2:16" s="8" customFormat="1" ht="12.75" hidden="1" customHeight="1">
      <c r="B1441" s="37"/>
      <c r="C1441" s="37"/>
      <c r="D1441" s="38"/>
      <c r="E1441" s="38"/>
      <c r="F1441" s="39"/>
      <c r="K1441" s="5"/>
      <c r="L1441" s="5"/>
      <c r="M1441" s="5"/>
      <c r="N1441" s="5"/>
      <c r="O1441" s="5"/>
      <c r="P1441" s="5"/>
    </row>
    <row r="1442" spans="2:16" s="8" customFormat="1" ht="12.75" hidden="1" customHeight="1">
      <c r="B1442" s="37"/>
      <c r="C1442" s="37"/>
      <c r="D1442" s="38"/>
      <c r="E1442" s="38"/>
      <c r="F1442" s="39"/>
      <c r="K1442" s="5"/>
      <c r="L1442" s="5"/>
      <c r="M1442" s="5"/>
      <c r="N1442" s="5"/>
      <c r="O1442" s="5"/>
      <c r="P1442" s="5"/>
    </row>
    <row r="1443" spans="2:16" s="8" customFormat="1" ht="12.75" hidden="1" customHeight="1">
      <c r="B1443" s="37"/>
      <c r="C1443" s="37"/>
      <c r="D1443" s="38"/>
      <c r="E1443" s="38"/>
      <c r="F1443" s="39"/>
      <c r="K1443" s="5"/>
      <c r="L1443" s="5"/>
      <c r="M1443" s="5"/>
      <c r="N1443" s="5"/>
      <c r="O1443" s="5"/>
      <c r="P1443" s="5"/>
    </row>
    <row r="1444" spans="2:16" s="8" customFormat="1" ht="12.75" hidden="1" customHeight="1">
      <c r="B1444" s="37"/>
      <c r="C1444" s="37"/>
      <c r="D1444" s="38"/>
      <c r="E1444" s="38"/>
      <c r="F1444" s="39"/>
      <c r="K1444" s="5"/>
      <c r="L1444" s="5"/>
      <c r="M1444" s="5"/>
      <c r="N1444" s="5"/>
      <c r="O1444" s="5"/>
      <c r="P1444" s="5"/>
    </row>
    <row r="1445" spans="2:16" s="8" customFormat="1" ht="12.75" hidden="1" customHeight="1">
      <c r="B1445" s="37"/>
      <c r="C1445" s="37"/>
      <c r="D1445" s="38"/>
      <c r="E1445" s="38"/>
      <c r="F1445" s="39"/>
      <c r="K1445" s="5"/>
      <c r="L1445" s="5"/>
      <c r="M1445" s="5"/>
      <c r="N1445" s="5"/>
      <c r="O1445" s="5"/>
      <c r="P1445" s="5"/>
    </row>
    <row r="1446" spans="2:16" s="8" customFormat="1" ht="12.75" hidden="1" customHeight="1">
      <c r="B1446" s="37"/>
      <c r="C1446" s="37"/>
      <c r="D1446" s="38"/>
      <c r="E1446" s="38"/>
      <c r="F1446" s="39"/>
      <c r="K1446" s="5"/>
      <c r="L1446" s="5"/>
      <c r="M1446" s="5"/>
      <c r="N1446" s="5"/>
      <c r="O1446" s="5"/>
      <c r="P1446" s="5"/>
    </row>
    <row r="1447" spans="2:16" s="8" customFormat="1" ht="12.75" hidden="1" customHeight="1">
      <c r="B1447" s="37"/>
      <c r="C1447" s="37"/>
      <c r="D1447" s="38"/>
      <c r="E1447" s="38"/>
      <c r="F1447" s="39"/>
      <c r="K1447" s="5"/>
      <c r="L1447" s="5"/>
      <c r="M1447" s="5"/>
      <c r="N1447" s="5"/>
      <c r="O1447" s="5"/>
      <c r="P1447" s="5"/>
    </row>
    <row r="1448" spans="2:16" s="8" customFormat="1" ht="12.75" hidden="1" customHeight="1">
      <c r="B1448" s="37"/>
      <c r="C1448" s="37"/>
      <c r="D1448" s="38"/>
      <c r="E1448" s="38"/>
      <c r="F1448" s="39"/>
      <c r="K1448" s="5"/>
      <c r="L1448" s="5"/>
      <c r="M1448" s="5"/>
      <c r="N1448" s="5"/>
      <c r="O1448" s="5"/>
      <c r="P1448" s="5"/>
    </row>
    <row r="1449" spans="2:16" s="8" customFormat="1" ht="12.75" hidden="1" customHeight="1">
      <c r="B1449" s="37"/>
      <c r="C1449" s="37"/>
      <c r="D1449" s="38"/>
      <c r="E1449" s="38"/>
      <c r="F1449" s="39"/>
      <c r="K1449" s="5"/>
      <c r="L1449" s="5"/>
      <c r="M1449" s="5"/>
      <c r="N1449" s="5"/>
      <c r="O1449" s="5"/>
      <c r="P1449" s="5"/>
    </row>
    <row r="1450" spans="2:16" s="8" customFormat="1" ht="12.75" hidden="1" customHeight="1">
      <c r="B1450" s="37"/>
      <c r="C1450" s="37"/>
      <c r="D1450" s="38"/>
      <c r="E1450" s="38"/>
      <c r="F1450" s="39"/>
      <c r="K1450" s="5"/>
      <c r="L1450" s="5"/>
      <c r="M1450" s="5"/>
      <c r="N1450" s="5"/>
      <c r="O1450" s="5"/>
      <c r="P1450" s="5"/>
    </row>
    <row r="1451" spans="2:16" s="8" customFormat="1" ht="12.75" hidden="1" customHeight="1">
      <c r="B1451" s="37"/>
      <c r="C1451" s="37"/>
      <c r="D1451" s="38"/>
      <c r="E1451" s="38"/>
      <c r="F1451" s="39"/>
      <c r="K1451" s="5"/>
      <c r="L1451" s="5"/>
      <c r="M1451" s="5"/>
      <c r="N1451" s="5"/>
      <c r="O1451" s="5"/>
      <c r="P1451" s="5"/>
    </row>
    <row r="1452" spans="2:16" s="8" customFormat="1" ht="12.75" hidden="1" customHeight="1">
      <c r="B1452" s="37"/>
      <c r="C1452" s="37"/>
      <c r="D1452" s="38"/>
      <c r="E1452" s="38"/>
      <c r="F1452" s="39"/>
      <c r="K1452" s="5"/>
      <c r="L1452" s="5"/>
      <c r="M1452" s="5"/>
      <c r="N1452" s="5"/>
      <c r="O1452" s="5"/>
      <c r="P1452" s="5"/>
    </row>
    <row r="1453" spans="2:16" s="8" customFormat="1" ht="12.75" hidden="1" customHeight="1">
      <c r="B1453" s="37"/>
      <c r="C1453" s="37"/>
      <c r="D1453" s="38"/>
      <c r="E1453" s="38"/>
      <c r="F1453" s="39"/>
      <c r="K1453" s="5"/>
      <c r="L1453" s="5"/>
      <c r="M1453" s="5"/>
      <c r="N1453" s="5"/>
      <c r="O1453" s="5"/>
      <c r="P1453" s="5"/>
    </row>
    <row r="1454" spans="2:16" s="8" customFormat="1" ht="12.75" hidden="1" customHeight="1">
      <c r="B1454" s="37"/>
      <c r="C1454" s="37"/>
      <c r="D1454" s="38"/>
      <c r="E1454" s="38"/>
      <c r="F1454" s="39"/>
      <c r="K1454" s="5"/>
      <c r="L1454" s="5"/>
      <c r="M1454" s="5"/>
      <c r="N1454" s="5"/>
      <c r="O1454" s="5"/>
      <c r="P1454" s="5"/>
    </row>
    <row r="1455" spans="2:16" s="8" customFormat="1" ht="12.75" hidden="1" customHeight="1">
      <c r="B1455" s="37"/>
      <c r="C1455" s="37"/>
      <c r="D1455" s="38"/>
      <c r="E1455" s="38"/>
      <c r="F1455" s="39"/>
      <c r="K1455" s="5"/>
      <c r="L1455" s="5"/>
      <c r="M1455" s="5"/>
      <c r="N1455" s="5"/>
      <c r="O1455" s="5"/>
      <c r="P1455" s="5"/>
    </row>
    <row r="1456" spans="2:16" s="8" customFormat="1" ht="12.75" hidden="1" customHeight="1">
      <c r="B1456" s="37"/>
      <c r="C1456" s="37"/>
      <c r="D1456" s="38"/>
      <c r="E1456" s="38"/>
      <c r="F1456" s="39"/>
      <c r="K1456" s="5"/>
      <c r="L1456" s="5"/>
      <c r="M1456" s="5"/>
      <c r="N1456" s="5"/>
      <c r="O1456" s="5"/>
      <c r="P1456" s="5"/>
    </row>
    <row r="1457" spans="2:16" s="8" customFormat="1" ht="12.75" hidden="1" customHeight="1">
      <c r="B1457" s="37"/>
      <c r="C1457" s="37"/>
      <c r="D1457" s="38"/>
      <c r="E1457" s="38"/>
      <c r="F1457" s="39"/>
      <c r="K1457" s="5"/>
      <c r="L1457" s="5"/>
      <c r="M1457" s="5"/>
      <c r="N1457" s="5"/>
      <c r="O1457" s="5"/>
      <c r="P1457" s="5"/>
    </row>
    <row r="1458" spans="2:16" s="8" customFormat="1" ht="12.75" hidden="1" customHeight="1">
      <c r="B1458" s="37"/>
      <c r="C1458" s="37"/>
      <c r="D1458" s="38"/>
      <c r="E1458" s="38"/>
      <c r="F1458" s="39"/>
      <c r="K1458" s="5"/>
      <c r="L1458" s="5"/>
      <c r="M1458" s="5"/>
      <c r="N1458" s="5"/>
      <c r="O1458" s="5"/>
      <c r="P1458" s="5"/>
    </row>
    <row r="1459" spans="2:16" s="8" customFormat="1" ht="12.75" hidden="1" customHeight="1">
      <c r="B1459" s="37"/>
      <c r="C1459" s="37"/>
      <c r="D1459" s="38"/>
      <c r="E1459" s="38"/>
      <c r="F1459" s="39"/>
      <c r="K1459" s="5"/>
      <c r="L1459" s="5"/>
      <c r="M1459" s="5"/>
      <c r="N1459" s="5"/>
      <c r="O1459" s="5"/>
      <c r="P1459" s="5"/>
    </row>
    <row r="1460" spans="2:16" s="8" customFormat="1" ht="12.75" hidden="1" customHeight="1">
      <c r="B1460" s="37"/>
      <c r="C1460" s="37"/>
      <c r="D1460" s="38"/>
      <c r="E1460" s="38"/>
      <c r="F1460" s="39"/>
      <c r="K1460" s="5"/>
      <c r="L1460" s="5"/>
      <c r="M1460" s="5"/>
      <c r="N1460" s="5"/>
      <c r="O1460" s="5"/>
      <c r="P1460" s="5"/>
    </row>
    <row r="1461" spans="2:16" s="8" customFormat="1" ht="12.75" hidden="1" customHeight="1">
      <c r="B1461" s="37"/>
      <c r="C1461" s="37"/>
      <c r="D1461" s="38"/>
      <c r="E1461" s="38"/>
      <c r="F1461" s="39"/>
      <c r="K1461" s="5"/>
      <c r="L1461" s="5"/>
      <c r="M1461" s="5"/>
      <c r="N1461" s="5"/>
      <c r="O1461" s="5"/>
      <c r="P1461" s="5"/>
    </row>
    <row r="1462" spans="2:16" s="8" customFormat="1" ht="12.75" hidden="1" customHeight="1">
      <c r="B1462" s="37"/>
      <c r="C1462" s="37"/>
      <c r="D1462" s="38"/>
      <c r="E1462" s="38"/>
      <c r="F1462" s="39"/>
      <c r="K1462" s="5"/>
      <c r="L1462" s="5"/>
      <c r="M1462" s="5"/>
      <c r="N1462" s="5"/>
      <c r="O1462" s="5"/>
      <c r="P1462" s="5"/>
    </row>
    <row r="1463" spans="2:16" s="8" customFormat="1" ht="12.75" hidden="1" customHeight="1">
      <c r="B1463" s="37"/>
      <c r="C1463" s="37"/>
      <c r="D1463" s="38"/>
      <c r="E1463" s="38"/>
      <c r="F1463" s="39"/>
      <c r="K1463" s="5"/>
      <c r="L1463" s="5"/>
      <c r="M1463" s="5"/>
      <c r="N1463" s="5"/>
      <c r="O1463" s="5"/>
      <c r="P1463" s="5"/>
    </row>
    <row r="1464" spans="2:16" s="8" customFormat="1" ht="12.75" hidden="1" customHeight="1">
      <c r="B1464" s="37"/>
      <c r="C1464" s="37"/>
      <c r="D1464" s="38"/>
      <c r="E1464" s="38"/>
      <c r="F1464" s="39"/>
      <c r="K1464" s="5"/>
      <c r="L1464" s="5"/>
      <c r="M1464" s="5"/>
      <c r="N1464" s="5"/>
      <c r="O1464" s="5"/>
      <c r="P1464" s="5"/>
    </row>
    <row r="1465" spans="2:16" s="8" customFormat="1" ht="12.75" hidden="1" customHeight="1">
      <c r="B1465" s="37"/>
      <c r="C1465" s="37"/>
      <c r="D1465" s="38"/>
      <c r="E1465" s="38"/>
      <c r="F1465" s="39"/>
      <c r="K1465" s="5"/>
      <c r="L1465" s="5"/>
      <c r="M1465" s="5"/>
      <c r="N1465" s="5"/>
      <c r="O1465" s="5"/>
      <c r="P1465" s="5"/>
    </row>
    <row r="1466" spans="2:16" s="8" customFormat="1" ht="12.75" hidden="1" customHeight="1">
      <c r="B1466" s="37"/>
      <c r="C1466" s="37"/>
      <c r="D1466" s="38"/>
      <c r="E1466" s="38"/>
      <c r="F1466" s="39"/>
      <c r="K1466" s="5"/>
      <c r="L1466" s="5"/>
      <c r="M1466" s="5"/>
      <c r="N1466" s="5"/>
      <c r="O1466" s="5"/>
      <c r="P1466" s="5"/>
    </row>
    <row r="1467" spans="2:16" s="8" customFormat="1" ht="12.75" hidden="1" customHeight="1">
      <c r="B1467" s="37"/>
      <c r="C1467" s="37"/>
      <c r="D1467" s="38"/>
      <c r="E1467" s="38"/>
      <c r="F1467" s="39"/>
      <c r="K1467" s="5"/>
      <c r="L1467" s="5"/>
      <c r="M1467" s="5"/>
      <c r="N1467" s="5"/>
      <c r="O1467" s="5"/>
      <c r="P1467" s="5"/>
    </row>
    <row r="1468" spans="2:16" s="8" customFormat="1" ht="12.75" hidden="1" customHeight="1">
      <c r="B1468" s="37"/>
      <c r="C1468" s="37"/>
      <c r="D1468" s="38"/>
      <c r="E1468" s="38"/>
      <c r="F1468" s="39"/>
      <c r="K1468" s="5"/>
      <c r="L1468" s="5"/>
      <c r="M1468" s="5"/>
      <c r="N1468" s="5"/>
      <c r="O1468" s="5"/>
      <c r="P1468" s="5"/>
    </row>
    <row r="1469" spans="2:16" s="8" customFormat="1" ht="12.75" hidden="1" customHeight="1">
      <c r="B1469" s="37"/>
      <c r="C1469" s="37"/>
      <c r="D1469" s="38"/>
      <c r="E1469" s="38"/>
      <c r="F1469" s="39"/>
      <c r="K1469" s="5"/>
      <c r="L1469" s="5"/>
      <c r="M1469" s="5"/>
      <c r="N1469" s="5"/>
      <c r="O1469" s="5"/>
      <c r="P1469" s="5"/>
    </row>
    <row r="1470" spans="2:16" s="8" customFormat="1" ht="12.75" hidden="1" customHeight="1">
      <c r="B1470" s="37"/>
      <c r="C1470" s="37"/>
      <c r="D1470" s="38"/>
      <c r="E1470" s="38"/>
      <c r="F1470" s="39"/>
      <c r="K1470" s="5"/>
      <c r="L1470" s="5"/>
      <c r="M1470" s="5"/>
      <c r="N1470" s="5"/>
      <c r="O1470" s="5"/>
      <c r="P1470" s="5"/>
    </row>
    <row r="1471" spans="2:16" s="8" customFormat="1" ht="12.75" hidden="1" customHeight="1">
      <c r="B1471" s="37"/>
      <c r="C1471" s="37"/>
      <c r="D1471" s="38"/>
      <c r="E1471" s="38"/>
      <c r="F1471" s="39"/>
      <c r="K1471" s="5"/>
      <c r="L1471" s="5"/>
      <c r="M1471" s="5"/>
      <c r="N1471" s="5"/>
      <c r="O1471" s="5"/>
      <c r="P1471" s="5"/>
    </row>
    <row r="1472" spans="2:16" s="8" customFormat="1" ht="12.75" hidden="1" customHeight="1">
      <c r="B1472" s="37"/>
      <c r="C1472" s="37"/>
      <c r="D1472" s="38"/>
      <c r="E1472" s="38"/>
      <c r="F1472" s="39"/>
      <c r="K1472" s="5"/>
      <c r="L1472" s="5"/>
      <c r="M1472" s="5"/>
      <c r="N1472" s="5"/>
      <c r="O1472" s="5"/>
      <c r="P1472" s="5"/>
    </row>
    <row r="1473" spans="2:16" s="8" customFormat="1" ht="12.75" hidden="1" customHeight="1">
      <c r="B1473" s="37"/>
      <c r="C1473" s="37"/>
      <c r="D1473" s="38"/>
      <c r="E1473" s="38"/>
      <c r="F1473" s="39"/>
      <c r="K1473" s="5"/>
      <c r="L1473" s="5"/>
      <c r="M1473" s="5"/>
      <c r="N1473" s="5"/>
      <c r="O1473" s="5"/>
      <c r="P1473" s="5"/>
    </row>
    <row r="1474" spans="2:16" s="8" customFormat="1" ht="12.75" hidden="1" customHeight="1">
      <c r="B1474" s="37"/>
      <c r="C1474" s="37"/>
      <c r="D1474" s="38"/>
      <c r="E1474" s="38"/>
      <c r="F1474" s="39"/>
      <c r="K1474" s="5"/>
      <c r="L1474" s="5"/>
      <c r="M1474" s="5"/>
      <c r="N1474" s="5"/>
      <c r="O1474" s="5"/>
      <c r="P1474" s="5"/>
    </row>
    <row r="1475" spans="2:16" s="8" customFormat="1" ht="12.75" hidden="1" customHeight="1">
      <c r="B1475" s="37"/>
      <c r="C1475" s="37"/>
      <c r="D1475" s="38"/>
      <c r="E1475" s="38"/>
      <c r="F1475" s="39"/>
      <c r="K1475" s="5"/>
      <c r="L1475" s="5"/>
      <c r="M1475" s="5"/>
      <c r="N1475" s="5"/>
      <c r="O1475" s="5"/>
      <c r="P1475" s="5"/>
    </row>
    <row r="1476" spans="2:16" s="8" customFormat="1" ht="12.75" hidden="1" customHeight="1">
      <c r="B1476" s="37"/>
      <c r="C1476" s="37"/>
      <c r="D1476" s="38"/>
      <c r="E1476" s="38"/>
      <c r="F1476" s="39"/>
      <c r="K1476" s="5"/>
      <c r="L1476" s="5"/>
      <c r="M1476" s="5"/>
      <c r="N1476" s="5"/>
      <c r="O1476" s="5"/>
      <c r="P1476" s="5"/>
    </row>
    <row r="1477" spans="2:16" s="8" customFormat="1" ht="12.75" hidden="1" customHeight="1">
      <c r="B1477" s="37"/>
      <c r="C1477" s="37"/>
      <c r="D1477" s="38"/>
      <c r="E1477" s="38"/>
      <c r="F1477" s="39"/>
      <c r="K1477" s="5"/>
      <c r="L1477" s="5"/>
      <c r="M1477" s="5"/>
      <c r="N1477" s="5"/>
      <c r="O1477" s="5"/>
      <c r="P1477" s="5"/>
    </row>
    <row r="1478" spans="2:16" s="8" customFormat="1" ht="12.75" hidden="1" customHeight="1">
      <c r="B1478" s="37"/>
      <c r="C1478" s="37"/>
      <c r="D1478" s="38"/>
      <c r="E1478" s="38"/>
      <c r="F1478" s="39"/>
      <c r="K1478" s="5"/>
      <c r="L1478" s="5"/>
      <c r="M1478" s="5"/>
      <c r="N1478" s="5"/>
      <c r="O1478" s="5"/>
      <c r="P1478" s="5"/>
    </row>
    <row r="1479" spans="2:16" s="8" customFormat="1" ht="12.75" hidden="1" customHeight="1">
      <c r="B1479" s="37"/>
      <c r="C1479" s="37"/>
      <c r="D1479" s="38"/>
      <c r="E1479" s="38"/>
      <c r="F1479" s="39"/>
      <c r="K1479" s="5"/>
      <c r="L1479" s="5"/>
      <c r="M1479" s="5"/>
      <c r="N1479" s="5"/>
      <c r="O1479" s="5"/>
      <c r="P1479" s="5"/>
    </row>
    <row r="1480" spans="2:16" s="8" customFormat="1" ht="12.75" hidden="1" customHeight="1">
      <c r="B1480" s="37"/>
      <c r="C1480" s="37"/>
      <c r="D1480" s="38"/>
      <c r="E1480" s="38"/>
      <c r="F1480" s="39"/>
      <c r="K1480" s="5"/>
      <c r="L1480" s="5"/>
      <c r="M1480" s="5"/>
      <c r="N1480" s="5"/>
      <c r="O1480" s="5"/>
      <c r="P1480" s="5"/>
    </row>
    <row r="1481" spans="2:16" s="8" customFormat="1" ht="12.75" hidden="1" customHeight="1">
      <c r="B1481" s="37"/>
      <c r="C1481" s="37"/>
      <c r="D1481" s="38"/>
      <c r="E1481" s="38"/>
      <c r="F1481" s="39"/>
      <c r="K1481" s="5"/>
      <c r="L1481" s="5"/>
      <c r="M1481" s="5"/>
      <c r="N1481" s="5"/>
      <c r="O1481" s="5"/>
      <c r="P1481" s="5"/>
    </row>
    <row r="1482" spans="2:16" s="8" customFormat="1" ht="12.75" hidden="1" customHeight="1">
      <c r="B1482" s="37"/>
      <c r="C1482" s="37"/>
      <c r="D1482" s="38"/>
      <c r="E1482" s="38"/>
      <c r="F1482" s="39"/>
      <c r="K1482" s="5"/>
      <c r="L1482" s="5"/>
      <c r="M1482" s="5"/>
      <c r="N1482" s="5"/>
      <c r="O1482" s="5"/>
      <c r="P1482" s="5"/>
    </row>
    <row r="1483" spans="2:16" s="8" customFormat="1" ht="12.75" hidden="1" customHeight="1">
      <c r="B1483" s="37"/>
      <c r="C1483" s="37"/>
      <c r="D1483" s="38"/>
      <c r="E1483" s="38"/>
      <c r="F1483" s="39"/>
      <c r="K1483" s="5"/>
      <c r="L1483" s="5"/>
      <c r="M1483" s="5"/>
      <c r="N1483" s="5"/>
      <c r="O1483" s="5"/>
      <c r="P1483" s="5"/>
    </row>
    <row r="1484" spans="2:16" s="8" customFormat="1" ht="12.75" hidden="1" customHeight="1">
      <c r="B1484" s="37"/>
      <c r="C1484" s="37"/>
      <c r="D1484" s="38"/>
      <c r="E1484" s="38"/>
      <c r="F1484" s="39"/>
      <c r="K1484" s="5"/>
      <c r="L1484" s="5"/>
      <c r="M1484" s="5"/>
      <c r="N1484" s="5"/>
      <c r="O1484" s="5"/>
      <c r="P1484" s="5"/>
    </row>
    <row r="1485" spans="2:16" s="8" customFormat="1" ht="12.75" hidden="1" customHeight="1">
      <c r="B1485" s="37"/>
      <c r="C1485" s="37"/>
      <c r="D1485" s="38"/>
      <c r="E1485" s="38"/>
      <c r="F1485" s="39"/>
      <c r="K1485" s="5"/>
      <c r="L1485" s="5"/>
      <c r="M1485" s="5"/>
      <c r="N1485" s="5"/>
      <c r="O1485" s="5"/>
      <c r="P1485" s="5"/>
    </row>
    <row r="1486" spans="2:16" s="8" customFormat="1" ht="12.75" hidden="1" customHeight="1">
      <c r="B1486" s="37"/>
      <c r="C1486" s="37"/>
      <c r="D1486" s="38"/>
      <c r="E1486" s="38"/>
      <c r="F1486" s="39"/>
      <c r="K1486" s="5"/>
      <c r="L1486" s="5"/>
      <c r="M1486" s="5"/>
      <c r="N1486" s="5"/>
      <c r="O1486" s="5"/>
      <c r="P1486" s="5"/>
    </row>
    <row r="1487" spans="2:16" s="8" customFormat="1" ht="12.75" hidden="1" customHeight="1">
      <c r="B1487" s="37"/>
      <c r="C1487" s="37"/>
      <c r="D1487" s="38"/>
      <c r="E1487" s="38"/>
      <c r="F1487" s="39"/>
      <c r="K1487" s="5"/>
      <c r="L1487" s="5"/>
      <c r="M1487" s="5"/>
      <c r="N1487" s="5"/>
      <c r="O1487" s="5"/>
      <c r="P1487" s="5"/>
    </row>
    <row r="1488" spans="2:16" s="8" customFormat="1" ht="12.75" hidden="1" customHeight="1">
      <c r="B1488" s="37"/>
      <c r="C1488" s="37"/>
      <c r="D1488" s="38"/>
      <c r="E1488" s="38"/>
      <c r="F1488" s="39"/>
      <c r="K1488" s="5"/>
      <c r="L1488" s="5"/>
      <c r="M1488" s="5"/>
      <c r="N1488" s="5"/>
      <c r="O1488" s="5"/>
      <c r="P1488" s="5"/>
    </row>
    <row r="1489" spans="2:16" s="8" customFormat="1" ht="12.75" hidden="1" customHeight="1">
      <c r="B1489" s="37"/>
      <c r="C1489" s="37"/>
      <c r="D1489" s="38"/>
      <c r="E1489" s="38"/>
      <c r="F1489" s="39"/>
      <c r="K1489" s="5"/>
      <c r="L1489" s="5"/>
      <c r="M1489" s="5"/>
      <c r="N1489" s="5"/>
      <c r="O1489" s="5"/>
      <c r="P1489" s="5"/>
    </row>
    <row r="1490" spans="2:16" s="8" customFormat="1" ht="12.75" hidden="1" customHeight="1">
      <c r="B1490" s="37"/>
      <c r="C1490" s="37"/>
      <c r="D1490" s="38"/>
      <c r="E1490" s="38"/>
      <c r="F1490" s="39"/>
      <c r="K1490" s="5"/>
      <c r="L1490" s="5"/>
      <c r="M1490" s="5"/>
      <c r="N1490" s="5"/>
      <c r="O1490" s="5"/>
      <c r="P1490" s="5"/>
    </row>
    <row r="1491" spans="2:16" s="8" customFormat="1" ht="12.75" hidden="1" customHeight="1">
      <c r="B1491" s="37"/>
      <c r="C1491" s="37"/>
      <c r="D1491" s="38"/>
      <c r="E1491" s="38"/>
      <c r="F1491" s="39"/>
      <c r="K1491" s="5"/>
      <c r="L1491" s="5"/>
      <c r="M1491" s="5"/>
      <c r="N1491" s="5"/>
      <c r="O1491" s="5"/>
      <c r="P1491" s="5"/>
    </row>
    <row r="1492" spans="2:16" s="8" customFormat="1" ht="12.75" hidden="1" customHeight="1">
      <c r="B1492" s="37"/>
      <c r="C1492" s="37"/>
      <c r="D1492" s="38"/>
      <c r="E1492" s="38"/>
      <c r="F1492" s="39"/>
      <c r="K1492" s="5"/>
      <c r="L1492" s="5"/>
      <c r="M1492" s="5"/>
      <c r="N1492" s="5"/>
      <c r="O1492" s="5"/>
      <c r="P1492" s="5"/>
    </row>
    <row r="1493" spans="2:16" s="8" customFormat="1" ht="12.75" hidden="1" customHeight="1">
      <c r="B1493" s="37"/>
      <c r="C1493" s="37"/>
      <c r="D1493" s="38"/>
      <c r="E1493" s="38"/>
      <c r="F1493" s="39"/>
      <c r="K1493" s="5"/>
      <c r="L1493" s="5"/>
      <c r="M1493" s="5"/>
      <c r="N1493" s="5"/>
      <c r="O1493" s="5"/>
      <c r="P1493" s="5"/>
    </row>
    <row r="1494" spans="2:16" s="8" customFormat="1" ht="12.75" hidden="1" customHeight="1">
      <c r="B1494" s="37"/>
      <c r="C1494" s="37"/>
      <c r="D1494" s="38"/>
      <c r="E1494" s="38"/>
      <c r="F1494" s="39"/>
      <c r="K1494" s="5"/>
      <c r="L1494" s="5"/>
      <c r="M1494" s="5"/>
      <c r="N1494" s="5"/>
      <c r="O1494" s="5"/>
      <c r="P1494" s="5"/>
    </row>
    <row r="1495" spans="2:16" s="8" customFormat="1" ht="12.75" hidden="1" customHeight="1">
      <c r="B1495" s="37"/>
      <c r="C1495" s="37"/>
      <c r="D1495" s="38"/>
      <c r="E1495" s="38"/>
      <c r="F1495" s="39"/>
      <c r="K1495" s="5"/>
      <c r="L1495" s="5"/>
      <c r="M1495" s="5"/>
      <c r="N1495" s="5"/>
      <c r="O1495" s="5"/>
      <c r="P1495" s="5"/>
    </row>
    <row r="1496" spans="2:16" s="8" customFormat="1" ht="12.75" hidden="1" customHeight="1">
      <c r="B1496" s="37"/>
      <c r="C1496" s="37"/>
      <c r="D1496" s="38"/>
      <c r="E1496" s="38"/>
      <c r="F1496" s="39"/>
      <c r="K1496" s="5"/>
      <c r="L1496" s="5"/>
      <c r="M1496" s="5"/>
      <c r="N1496" s="5"/>
      <c r="O1496" s="5"/>
      <c r="P1496" s="5"/>
    </row>
    <row r="1497" spans="2:16" s="8" customFormat="1" ht="12.75" hidden="1" customHeight="1">
      <c r="B1497" s="37"/>
      <c r="C1497" s="37"/>
      <c r="D1497" s="38"/>
      <c r="E1497" s="38"/>
      <c r="F1497" s="39"/>
      <c r="K1497" s="5"/>
      <c r="L1497" s="5"/>
      <c r="M1497" s="5"/>
      <c r="N1497" s="5"/>
      <c r="O1497" s="5"/>
      <c r="P1497" s="5"/>
    </row>
    <row r="1498" spans="2:16" s="8" customFormat="1" ht="12.75" hidden="1" customHeight="1">
      <c r="B1498" s="37"/>
      <c r="C1498" s="37"/>
      <c r="D1498" s="38"/>
      <c r="E1498" s="38"/>
      <c r="F1498" s="39"/>
      <c r="K1498" s="5"/>
      <c r="L1498" s="5"/>
      <c r="M1498" s="5"/>
      <c r="N1498" s="5"/>
      <c r="O1498" s="5"/>
      <c r="P1498" s="5"/>
    </row>
    <row r="1499" spans="2:16" s="8" customFormat="1" ht="12.75" hidden="1" customHeight="1">
      <c r="B1499" s="37"/>
      <c r="C1499" s="37"/>
      <c r="D1499" s="38"/>
      <c r="E1499" s="38"/>
      <c r="F1499" s="39"/>
      <c r="K1499" s="5"/>
      <c r="L1499" s="5"/>
      <c r="M1499" s="5"/>
      <c r="N1499" s="5"/>
      <c r="O1499" s="5"/>
      <c r="P1499" s="5"/>
    </row>
    <row r="1500" spans="2:16" s="8" customFormat="1" ht="12.75" hidden="1" customHeight="1">
      <c r="B1500" s="37"/>
      <c r="C1500" s="37"/>
      <c r="D1500" s="38"/>
      <c r="E1500" s="38"/>
      <c r="F1500" s="39"/>
      <c r="K1500" s="5"/>
      <c r="L1500" s="5"/>
      <c r="M1500" s="5"/>
      <c r="N1500" s="5"/>
      <c r="O1500" s="5"/>
      <c r="P1500" s="5"/>
    </row>
    <row r="1501" spans="2:16" s="8" customFormat="1" ht="12.75" hidden="1" customHeight="1">
      <c r="B1501" s="37"/>
      <c r="C1501" s="37"/>
      <c r="D1501" s="38"/>
      <c r="E1501" s="38"/>
      <c r="F1501" s="39"/>
      <c r="K1501" s="5"/>
      <c r="L1501" s="5"/>
      <c r="M1501" s="5"/>
      <c r="N1501" s="5"/>
      <c r="O1501" s="5"/>
      <c r="P1501" s="5"/>
    </row>
    <row r="1502" spans="2:16" s="8" customFormat="1" ht="12.75" hidden="1" customHeight="1">
      <c r="B1502" s="37"/>
      <c r="C1502" s="37"/>
      <c r="D1502" s="38"/>
      <c r="E1502" s="38"/>
      <c r="F1502" s="39"/>
      <c r="K1502" s="5"/>
      <c r="L1502" s="5"/>
      <c r="M1502" s="5"/>
      <c r="N1502" s="5"/>
      <c r="O1502" s="5"/>
      <c r="P1502" s="5"/>
    </row>
    <row r="1503" spans="2:16" s="8" customFormat="1" ht="12.75" hidden="1" customHeight="1">
      <c r="B1503" s="37"/>
      <c r="C1503" s="37"/>
      <c r="D1503" s="38"/>
      <c r="E1503" s="38"/>
      <c r="F1503" s="39"/>
      <c r="K1503" s="5"/>
      <c r="L1503" s="5"/>
      <c r="M1503" s="5"/>
      <c r="N1503" s="5"/>
      <c r="O1503" s="5"/>
      <c r="P1503" s="5"/>
    </row>
    <row r="1504" spans="2:16" s="8" customFormat="1" ht="12.75" hidden="1" customHeight="1">
      <c r="B1504" s="37"/>
      <c r="C1504" s="37"/>
      <c r="D1504" s="38"/>
      <c r="E1504" s="38"/>
      <c r="F1504" s="39"/>
      <c r="K1504" s="5"/>
      <c r="L1504" s="5"/>
      <c r="M1504" s="5"/>
      <c r="N1504" s="5"/>
      <c r="O1504" s="5"/>
      <c r="P1504" s="5"/>
    </row>
    <row r="1505" spans="2:16" s="8" customFormat="1" ht="12.75" hidden="1" customHeight="1">
      <c r="B1505" s="37"/>
      <c r="C1505" s="37"/>
      <c r="D1505" s="38"/>
      <c r="E1505" s="38"/>
      <c r="F1505" s="39"/>
      <c r="K1505" s="5"/>
      <c r="L1505" s="5"/>
      <c r="M1505" s="5"/>
      <c r="N1505" s="5"/>
      <c r="O1505" s="5"/>
      <c r="P1505" s="5"/>
    </row>
    <row r="1506" spans="2:16" s="8" customFormat="1" ht="12.75" hidden="1" customHeight="1">
      <c r="B1506" s="37"/>
      <c r="C1506" s="37"/>
      <c r="D1506" s="38"/>
      <c r="E1506" s="38"/>
      <c r="F1506" s="39"/>
      <c r="K1506" s="5"/>
      <c r="L1506" s="5"/>
      <c r="M1506" s="5"/>
      <c r="N1506" s="5"/>
      <c r="O1506" s="5"/>
      <c r="P1506" s="5"/>
    </row>
    <row r="1507" spans="2:16" s="8" customFormat="1" ht="12.75" hidden="1" customHeight="1">
      <c r="B1507" s="37"/>
      <c r="C1507" s="37"/>
      <c r="D1507" s="38"/>
      <c r="E1507" s="38"/>
      <c r="F1507" s="39"/>
      <c r="K1507" s="5"/>
      <c r="L1507" s="5"/>
      <c r="M1507" s="5"/>
      <c r="N1507" s="5"/>
      <c r="O1507" s="5"/>
      <c r="P1507" s="5"/>
    </row>
    <row r="1508" spans="2:16" s="8" customFormat="1" ht="12.75" hidden="1" customHeight="1">
      <c r="B1508" s="37"/>
      <c r="C1508" s="37"/>
      <c r="D1508" s="38"/>
      <c r="E1508" s="38"/>
      <c r="F1508" s="39"/>
      <c r="K1508" s="5"/>
      <c r="L1508" s="5"/>
      <c r="M1508" s="5"/>
      <c r="N1508" s="5"/>
      <c r="O1508" s="5"/>
      <c r="P1508" s="5"/>
    </row>
    <row r="1509" spans="2:16" s="8" customFormat="1" ht="12.75" hidden="1" customHeight="1">
      <c r="B1509" s="37"/>
      <c r="C1509" s="37"/>
      <c r="D1509" s="38"/>
      <c r="E1509" s="38"/>
      <c r="F1509" s="39"/>
      <c r="K1509" s="5"/>
      <c r="L1509" s="5"/>
      <c r="M1509" s="5"/>
      <c r="N1509" s="5"/>
      <c r="O1509" s="5"/>
      <c r="P1509" s="5"/>
    </row>
    <row r="1510" spans="2:16" s="8" customFormat="1" ht="12.75" hidden="1" customHeight="1">
      <c r="B1510" s="37"/>
      <c r="C1510" s="37"/>
      <c r="D1510" s="38"/>
      <c r="E1510" s="38"/>
      <c r="F1510" s="39"/>
      <c r="K1510" s="5"/>
      <c r="L1510" s="5"/>
      <c r="M1510" s="5"/>
      <c r="N1510" s="5"/>
      <c r="O1510" s="5"/>
      <c r="P1510" s="5"/>
    </row>
    <row r="1511" spans="2:16" s="8" customFormat="1" ht="12.75" hidden="1" customHeight="1">
      <c r="B1511" s="37"/>
      <c r="C1511" s="37"/>
      <c r="D1511" s="38"/>
      <c r="E1511" s="38"/>
      <c r="F1511" s="39"/>
      <c r="K1511" s="5"/>
      <c r="L1511" s="5"/>
      <c r="M1511" s="5"/>
      <c r="N1511" s="5"/>
      <c r="O1511" s="5"/>
      <c r="P1511" s="5"/>
    </row>
    <row r="1512" spans="2:16" s="8" customFormat="1" ht="12.75" hidden="1" customHeight="1">
      <c r="B1512" s="37"/>
      <c r="C1512" s="37"/>
      <c r="D1512" s="38"/>
      <c r="E1512" s="38"/>
      <c r="F1512" s="39"/>
      <c r="K1512" s="5"/>
      <c r="L1512" s="5"/>
      <c r="M1512" s="5"/>
      <c r="N1512" s="5"/>
      <c r="O1512" s="5"/>
      <c r="P1512" s="5"/>
    </row>
    <row r="1513" spans="2:16" s="8" customFormat="1" ht="12.75" hidden="1" customHeight="1">
      <c r="B1513" s="37"/>
      <c r="C1513" s="37"/>
      <c r="D1513" s="38"/>
      <c r="E1513" s="38"/>
      <c r="F1513" s="39"/>
      <c r="K1513" s="5"/>
      <c r="L1513" s="5"/>
      <c r="M1513" s="5"/>
      <c r="N1513" s="5"/>
      <c r="O1513" s="5"/>
      <c r="P1513" s="5"/>
    </row>
    <row r="1514" spans="2:16" s="8" customFormat="1" ht="12.75" hidden="1" customHeight="1">
      <c r="B1514" s="37"/>
      <c r="C1514" s="37"/>
      <c r="D1514" s="38"/>
      <c r="E1514" s="38"/>
      <c r="F1514" s="39"/>
      <c r="K1514" s="5"/>
      <c r="L1514" s="5"/>
      <c r="M1514" s="5"/>
      <c r="N1514" s="5"/>
      <c r="O1514" s="5"/>
      <c r="P1514" s="5"/>
    </row>
    <row r="1515" spans="2:16" s="8" customFormat="1" ht="12.75" hidden="1" customHeight="1">
      <c r="B1515" s="37"/>
      <c r="C1515" s="37"/>
      <c r="D1515" s="38"/>
      <c r="E1515" s="38"/>
      <c r="F1515" s="39"/>
      <c r="K1515" s="5"/>
      <c r="L1515" s="5"/>
      <c r="M1515" s="5"/>
      <c r="N1515" s="5"/>
      <c r="O1515" s="5"/>
      <c r="P1515" s="5"/>
    </row>
    <row r="1516" spans="2:16" s="8" customFormat="1" ht="12.75" hidden="1" customHeight="1">
      <c r="B1516" s="37"/>
      <c r="C1516" s="37"/>
      <c r="D1516" s="38"/>
      <c r="E1516" s="38"/>
      <c r="F1516" s="39"/>
      <c r="K1516" s="5"/>
      <c r="L1516" s="5"/>
      <c r="M1516" s="5"/>
      <c r="N1516" s="5"/>
      <c r="O1516" s="5"/>
      <c r="P1516" s="5"/>
    </row>
    <row r="1517" spans="2:16" s="8" customFormat="1" ht="12.75" hidden="1" customHeight="1">
      <c r="B1517" s="37"/>
      <c r="C1517" s="37"/>
      <c r="D1517" s="38"/>
      <c r="E1517" s="38"/>
      <c r="F1517" s="39"/>
      <c r="K1517" s="5"/>
      <c r="L1517" s="5"/>
      <c r="M1517" s="5"/>
      <c r="N1517" s="5"/>
      <c r="O1517" s="5"/>
      <c r="P1517" s="5"/>
    </row>
    <row r="1518" spans="2:16" s="8" customFormat="1" ht="12.75" hidden="1" customHeight="1">
      <c r="B1518" s="37"/>
      <c r="C1518" s="37"/>
      <c r="D1518" s="38"/>
      <c r="E1518" s="38"/>
      <c r="F1518" s="39"/>
      <c r="K1518" s="5"/>
      <c r="L1518" s="5"/>
      <c r="M1518" s="5"/>
      <c r="N1518" s="5"/>
      <c r="O1518" s="5"/>
      <c r="P1518" s="5"/>
    </row>
    <row r="1519" spans="2:16" s="8" customFormat="1" ht="12.75" hidden="1" customHeight="1">
      <c r="B1519" s="37"/>
      <c r="C1519" s="37"/>
      <c r="D1519" s="38"/>
      <c r="E1519" s="38"/>
      <c r="F1519" s="39"/>
      <c r="K1519" s="5"/>
      <c r="L1519" s="5"/>
      <c r="M1519" s="5"/>
      <c r="N1519" s="5"/>
      <c r="O1519" s="5"/>
      <c r="P1519" s="5"/>
    </row>
    <row r="1520" spans="2:16" s="8" customFormat="1" ht="12.75" hidden="1" customHeight="1">
      <c r="B1520" s="37"/>
      <c r="C1520" s="37"/>
      <c r="D1520" s="38"/>
      <c r="E1520" s="38"/>
      <c r="F1520" s="39"/>
      <c r="K1520" s="5"/>
      <c r="L1520" s="5"/>
      <c r="M1520" s="5"/>
      <c r="N1520" s="5"/>
      <c r="O1520" s="5"/>
      <c r="P1520" s="5"/>
    </row>
    <row r="1521" spans="2:16" s="8" customFormat="1" ht="12.75" hidden="1" customHeight="1">
      <c r="B1521" s="37"/>
      <c r="C1521" s="37"/>
      <c r="D1521" s="38"/>
      <c r="E1521" s="38"/>
      <c r="F1521" s="39"/>
      <c r="K1521" s="5"/>
      <c r="L1521" s="5"/>
      <c r="M1521" s="5"/>
      <c r="N1521" s="5"/>
      <c r="O1521" s="5"/>
      <c r="P1521" s="5"/>
    </row>
    <row r="1522" spans="2:16" s="8" customFormat="1" ht="12.75" hidden="1" customHeight="1">
      <c r="B1522" s="37"/>
      <c r="C1522" s="37"/>
      <c r="D1522" s="38"/>
      <c r="E1522" s="38"/>
      <c r="F1522" s="39"/>
      <c r="K1522" s="5"/>
      <c r="L1522" s="5"/>
      <c r="M1522" s="5"/>
      <c r="N1522" s="5"/>
      <c r="O1522" s="5"/>
      <c r="P1522" s="5"/>
    </row>
    <row r="1523" spans="2:16" s="8" customFormat="1" ht="12.75" hidden="1" customHeight="1">
      <c r="B1523" s="37"/>
      <c r="C1523" s="37"/>
      <c r="D1523" s="38"/>
      <c r="E1523" s="38"/>
      <c r="F1523" s="39"/>
      <c r="K1523" s="5"/>
      <c r="L1523" s="5"/>
      <c r="M1523" s="5"/>
      <c r="N1523" s="5"/>
      <c r="O1523" s="5"/>
      <c r="P1523" s="5"/>
    </row>
    <row r="1524" spans="2:16" s="8" customFormat="1" ht="12.75" hidden="1" customHeight="1">
      <c r="B1524" s="37"/>
      <c r="C1524" s="37"/>
      <c r="D1524" s="38"/>
      <c r="E1524" s="38"/>
      <c r="F1524" s="39"/>
      <c r="K1524" s="5"/>
      <c r="L1524" s="5"/>
      <c r="M1524" s="5"/>
      <c r="N1524" s="5"/>
      <c r="O1524" s="5"/>
      <c r="P1524" s="5"/>
    </row>
    <row r="1525" spans="2:16" s="8" customFormat="1" ht="12.75" hidden="1" customHeight="1">
      <c r="B1525" s="37"/>
      <c r="C1525" s="37"/>
      <c r="D1525" s="38"/>
      <c r="E1525" s="38"/>
      <c r="F1525" s="39"/>
      <c r="K1525" s="5"/>
      <c r="L1525" s="5"/>
      <c r="M1525" s="5"/>
      <c r="N1525" s="5"/>
      <c r="O1525" s="5"/>
      <c r="P1525" s="5"/>
    </row>
    <row r="1526" spans="2:16" s="8" customFormat="1" ht="12.75" hidden="1" customHeight="1">
      <c r="B1526" s="37"/>
      <c r="C1526" s="37"/>
      <c r="D1526" s="38"/>
      <c r="E1526" s="38"/>
      <c r="F1526" s="39"/>
      <c r="K1526" s="5"/>
      <c r="L1526" s="5"/>
      <c r="M1526" s="5"/>
      <c r="N1526" s="5"/>
      <c r="O1526" s="5"/>
      <c r="P1526" s="5"/>
    </row>
    <row r="1527" spans="2:16" s="8" customFormat="1" ht="12.75" hidden="1" customHeight="1">
      <c r="B1527" s="37"/>
      <c r="C1527" s="37"/>
      <c r="D1527" s="38"/>
      <c r="E1527" s="38"/>
      <c r="F1527" s="39"/>
      <c r="K1527" s="5"/>
      <c r="L1527" s="5"/>
      <c r="M1527" s="5"/>
      <c r="N1527" s="5"/>
      <c r="O1527" s="5"/>
      <c r="P1527" s="5"/>
    </row>
    <row r="1528" spans="2:16" s="8" customFormat="1" ht="12.75" hidden="1" customHeight="1">
      <c r="B1528" s="37"/>
      <c r="C1528" s="37"/>
      <c r="D1528" s="38"/>
      <c r="E1528" s="38"/>
      <c r="F1528" s="39"/>
      <c r="K1528" s="5"/>
      <c r="L1528" s="5"/>
      <c r="M1528" s="5"/>
      <c r="N1528" s="5"/>
      <c r="O1528" s="5"/>
      <c r="P1528" s="5"/>
    </row>
    <row r="1529" spans="2:16" s="8" customFormat="1" ht="12.75" hidden="1" customHeight="1">
      <c r="B1529" s="37"/>
      <c r="C1529" s="37"/>
      <c r="D1529" s="38"/>
      <c r="E1529" s="38"/>
      <c r="F1529" s="39"/>
      <c r="K1529" s="5"/>
      <c r="L1529" s="5"/>
      <c r="M1529" s="5"/>
      <c r="N1529" s="5"/>
      <c r="O1529" s="5"/>
      <c r="P1529" s="5"/>
    </row>
    <row r="1530" spans="2:16" s="8" customFormat="1" ht="12.75" hidden="1" customHeight="1">
      <c r="B1530" s="37"/>
      <c r="C1530" s="37"/>
      <c r="D1530" s="38"/>
      <c r="E1530" s="38"/>
      <c r="F1530" s="39"/>
      <c r="K1530" s="5"/>
      <c r="L1530" s="5"/>
      <c r="M1530" s="5"/>
      <c r="N1530" s="5"/>
      <c r="O1530" s="5"/>
      <c r="P1530" s="5"/>
    </row>
    <row r="1531" spans="2:16" s="8" customFormat="1" ht="12.75" hidden="1" customHeight="1">
      <c r="B1531" s="37"/>
      <c r="C1531" s="37"/>
      <c r="D1531" s="38"/>
      <c r="E1531" s="38"/>
      <c r="F1531" s="39"/>
      <c r="K1531" s="5"/>
      <c r="L1531" s="5"/>
      <c r="M1531" s="5"/>
      <c r="N1531" s="5"/>
      <c r="O1531" s="5"/>
      <c r="P1531" s="5"/>
    </row>
    <row r="1532" spans="2:16" s="8" customFormat="1" ht="12.75" hidden="1" customHeight="1">
      <c r="B1532" s="37"/>
      <c r="C1532" s="37"/>
      <c r="D1532" s="38"/>
      <c r="E1532" s="38"/>
      <c r="F1532" s="39"/>
      <c r="K1532" s="5"/>
      <c r="L1532" s="5"/>
      <c r="M1532" s="5"/>
      <c r="N1532" s="5"/>
      <c r="O1532" s="5"/>
      <c r="P1532" s="5"/>
    </row>
    <row r="1533" spans="2:16" s="8" customFormat="1" ht="12.75" hidden="1" customHeight="1">
      <c r="B1533" s="37"/>
      <c r="C1533" s="37"/>
      <c r="D1533" s="38"/>
      <c r="E1533" s="38"/>
      <c r="F1533" s="39"/>
      <c r="K1533" s="5"/>
      <c r="L1533" s="5"/>
      <c r="M1533" s="5"/>
      <c r="N1533" s="5"/>
      <c r="O1533" s="5"/>
      <c r="P1533" s="5"/>
    </row>
    <row r="1534" spans="2:16" s="8" customFormat="1" ht="12.75" hidden="1" customHeight="1">
      <c r="B1534" s="37"/>
      <c r="C1534" s="37"/>
      <c r="D1534" s="38"/>
      <c r="E1534" s="38"/>
      <c r="F1534" s="39"/>
      <c r="K1534" s="5"/>
      <c r="L1534" s="5"/>
      <c r="M1534" s="5"/>
      <c r="N1534" s="5"/>
      <c r="O1534" s="5"/>
      <c r="P1534" s="5"/>
    </row>
    <row r="1535" spans="2:16" s="8" customFormat="1" ht="12.75" hidden="1" customHeight="1">
      <c r="B1535" s="37"/>
      <c r="C1535" s="37"/>
      <c r="D1535" s="38"/>
      <c r="E1535" s="38"/>
      <c r="F1535" s="39"/>
      <c r="K1535" s="5"/>
      <c r="L1535" s="5"/>
      <c r="M1535" s="5"/>
      <c r="N1535" s="5"/>
      <c r="O1535" s="5"/>
      <c r="P1535" s="5"/>
    </row>
    <row r="1536" spans="2:16" s="8" customFormat="1" ht="12.75" hidden="1" customHeight="1">
      <c r="B1536" s="37"/>
      <c r="C1536" s="37"/>
      <c r="D1536" s="38"/>
      <c r="E1536" s="38"/>
      <c r="F1536" s="39"/>
      <c r="K1536" s="5"/>
      <c r="L1536" s="5"/>
      <c r="M1536" s="5"/>
      <c r="N1536" s="5"/>
      <c r="O1536" s="5"/>
      <c r="P1536" s="5"/>
    </row>
    <row r="1537" spans="2:16" s="8" customFormat="1" ht="12.75" hidden="1" customHeight="1">
      <c r="B1537" s="37"/>
      <c r="C1537" s="37"/>
      <c r="D1537" s="38"/>
      <c r="E1537" s="38"/>
      <c r="F1537" s="39"/>
      <c r="K1537" s="5"/>
      <c r="L1537" s="5"/>
      <c r="M1537" s="5"/>
      <c r="N1537" s="5"/>
      <c r="O1537" s="5"/>
      <c r="P1537" s="5"/>
    </row>
    <row r="1538" spans="2:16" s="8" customFormat="1" ht="12.75" hidden="1" customHeight="1">
      <c r="B1538" s="37"/>
      <c r="C1538" s="37"/>
      <c r="D1538" s="38"/>
      <c r="E1538" s="38"/>
      <c r="F1538" s="39"/>
      <c r="K1538" s="5"/>
      <c r="L1538" s="5"/>
      <c r="M1538" s="5"/>
      <c r="N1538" s="5"/>
      <c r="O1538" s="5"/>
      <c r="P1538" s="5"/>
    </row>
    <row r="1539" spans="2:16" s="8" customFormat="1" ht="12.75" hidden="1" customHeight="1">
      <c r="B1539" s="37"/>
      <c r="C1539" s="37"/>
      <c r="D1539" s="38"/>
      <c r="E1539" s="38"/>
      <c r="F1539" s="39"/>
      <c r="K1539" s="5"/>
      <c r="L1539" s="5"/>
      <c r="M1539" s="5"/>
      <c r="N1539" s="5"/>
      <c r="O1539" s="5"/>
      <c r="P1539" s="5"/>
    </row>
    <row r="1540" spans="2:16" s="8" customFormat="1" ht="12.75" hidden="1" customHeight="1">
      <c r="B1540" s="37"/>
      <c r="C1540" s="37"/>
      <c r="D1540" s="38"/>
      <c r="E1540" s="38"/>
      <c r="F1540" s="39"/>
      <c r="K1540" s="5"/>
      <c r="L1540" s="5"/>
      <c r="M1540" s="5"/>
      <c r="N1540" s="5"/>
      <c r="O1540" s="5"/>
      <c r="P1540" s="5"/>
    </row>
    <row r="1541" spans="2:16" s="8" customFormat="1" ht="12.75" hidden="1" customHeight="1">
      <c r="B1541" s="37"/>
      <c r="C1541" s="37"/>
      <c r="D1541" s="38"/>
      <c r="E1541" s="38"/>
      <c r="F1541" s="39"/>
      <c r="K1541" s="5"/>
      <c r="L1541" s="5"/>
      <c r="M1541" s="5"/>
      <c r="N1541" s="5"/>
      <c r="O1541" s="5"/>
      <c r="P1541" s="5"/>
    </row>
    <row r="1542" spans="2:16" s="8" customFormat="1" ht="12.75" hidden="1" customHeight="1">
      <c r="B1542" s="37"/>
      <c r="C1542" s="37"/>
      <c r="D1542" s="38"/>
      <c r="E1542" s="38"/>
      <c r="F1542" s="39"/>
      <c r="K1542" s="5"/>
      <c r="L1542" s="5"/>
      <c r="M1542" s="5"/>
      <c r="N1542" s="5"/>
      <c r="O1542" s="5"/>
      <c r="P1542" s="5"/>
    </row>
    <row r="1543" spans="2:16" s="8" customFormat="1" ht="12.75" hidden="1" customHeight="1">
      <c r="B1543" s="37"/>
      <c r="C1543" s="37"/>
      <c r="D1543" s="38"/>
      <c r="E1543" s="38"/>
      <c r="F1543" s="39"/>
      <c r="K1543" s="5"/>
      <c r="L1543" s="5"/>
      <c r="M1543" s="5"/>
      <c r="N1543" s="5"/>
      <c r="O1543" s="5"/>
      <c r="P1543" s="5"/>
    </row>
    <row r="1544" spans="2:16" s="8" customFormat="1" ht="12.75" hidden="1" customHeight="1">
      <c r="B1544" s="37"/>
      <c r="C1544" s="37"/>
      <c r="D1544" s="38"/>
      <c r="E1544" s="38"/>
      <c r="F1544" s="39"/>
      <c r="K1544" s="5"/>
      <c r="L1544" s="5"/>
      <c r="M1544" s="5"/>
      <c r="N1544" s="5"/>
      <c r="O1544" s="5"/>
      <c r="P1544" s="5"/>
    </row>
    <row r="1545" spans="2:16" s="8" customFormat="1" ht="12.75" hidden="1" customHeight="1">
      <c r="B1545" s="37"/>
      <c r="C1545" s="37"/>
      <c r="D1545" s="38"/>
      <c r="E1545" s="38"/>
      <c r="F1545" s="39"/>
      <c r="K1545" s="5"/>
      <c r="L1545" s="5"/>
      <c r="M1545" s="5"/>
      <c r="N1545" s="5"/>
      <c r="O1545" s="5"/>
      <c r="P1545" s="5"/>
    </row>
    <row r="1546" spans="2:16" s="8" customFormat="1" ht="12.75" hidden="1" customHeight="1">
      <c r="B1546" s="37"/>
      <c r="C1546" s="37"/>
      <c r="D1546" s="38"/>
      <c r="E1546" s="38"/>
      <c r="F1546" s="39"/>
      <c r="K1546" s="5"/>
      <c r="L1546" s="5"/>
      <c r="M1546" s="5"/>
      <c r="N1546" s="5"/>
      <c r="O1546" s="5"/>
      <c r="P1546" s="5"/>
    </row>
    <row r="1547" spans="2:16" s="8" customFormat="1" ht="12.75" hidden="1" customHeight="1">
      <c r="B1547" s="37"/>
      <c r="C1547" s="37"/>
      <c r="D1547" s="38"/>
      <c r="E1547" s="38"/>
      <c r="F1547" s="39"/>
      <c r="K1547" s="5"/>
      <c r="L1547" s="5"/>
      <c r="M1547" s="5"/>
      <c r="N1547" s="5"/>
      <c r="O1547" s="5"/>
      <c r="P1547" s="5"/>
    </row>
    <row r="1548" spans="2:16" s="8" customFormat="1" ht="12.75" hidden="1" customHeight="1">
      <c r="B1548" s="37"/>
      <c r="C1548" s="37"/>
      <c r="D1548" s="38"/>
      <c r="E1548" s="38"/>
      <c r="F1548" s="39"/>
      <c r="K1548" s="5"/>
      <c r="L1548" s="5"/>
      <c r="M1548" s="5"/>
      <c r="N1548" s="5"/>
      <c r="O1548" s="5"/>
      <c r="P1548" s="5"/>
    </row>
    <row r="1549" spans="2:16" s="8" customFormat="1" ht="12.75" hidden="1" customHeight="1">
      <c r="B1549" s="37"/>
      <c r="C1549" s="37"/>
      <c r="D1549" s="38"/>
      <c r="E1549" s="38"/>
      <c r="F1549" s="39"/>
      <c r="K1549" s="5"/>
      <c r="L1549" s="5"/>
      <c r="M1549" s="5"/>
      <c r="N1549" s="5"/>
      <c r="O1549" s="5"/>
      <c r="P1549" s="5"/>
    </row>
    <row r="1550" spans="2:16" s="8" customFormat="1" ht="12.75" hidden="1" customHeight="1">
      <c r="B1550" s="37"/>
      <c r="C1550" s="37"/>
      <c r="D1550" s="38"/>
      <c r="E1550" s="38"/>
      <c r="F1550" s="39"/>
      <c r="K1550" s="5"/>
      <c r="L1550" s="5"/>
      <c r="M1550" s="5"/>
      <c r="N1550" s="5"/>
      <c r="O1550" s="5"/>
      <c r="P1550" s="5"/>
    </row>
    <row r="1551" spans="2:16" s="8" customFormat="1" ht="12.75" hidden="1" customHeight="1">
      <c r="B1551" s="37"/>
      <c r="C1551" s="37"/>
      <c r="D1551" s="38"/>
      <c r="E1551" s="38"/>
      <c r="F1551" s="39"/>
      <c r="K1551" s="5"/>
      <c r="L1551" s="5"/>
      <c r="M1551" s="5"/>
      <c r="N1551" s="5"/>
      <c r="O1551" s="5"/>
      <c r="P1551" s="5"/>
    </row>
    <row r="1552" spans="2:16" s="8" customFormat="1" ht="12.75" hidden="1" customHeight="1">
      <c r="B1552" s="37"/>
      <c r="C1552" s="37"/>
      <c r="D1552" s="38"/>
      <c r="E1552" s="38"/>
      <c r="F1552" s="39"/>
      <c r="K1552" s="5"/>
      <c r="L1552" s="5"/>
      <c r="M1552" s="5"/>
      <c r="N1552" s="5"/>
      <c r="O1552" s="5"/>
      <c r="P1552" s="5"/>
    </row>
    <row r="1553" spans="2:16" s="8" customFormat="1" ht="12.75" hidden="1" customHeight="1">
      <c r="B1553" s="37"/>
      <c r="C1553" s="37"/>
      <c r="D1553" s="38"/>
      <c r="E1553" s="38"/>
      <c r="F1553" s="39"/>
      <c r="K1553" s="5"/>
      <c r="L1553" s="5"/>
      <c r="M1553" s="5"/>
      <c r="N1553" s="5"/>
      <c r="O1553" s="5"/>
      <c r="P1553" s="5"/>
    </row>
    <row r="1554" spans="2:16" s="8" customFormat="1" ht="12.75" hidden="1" customHeight="1">
      <c r="B1554" s="37"/>
      <c r="C1554" s="37"/>
      <c r="D1554" s="38"/>
      <c r="E1554" s="38"/>
      <c r="F1554" s="39"/>
      <c r="K1554" s="5"/>
      <c r="L1554" s="5"/>
      <c r="M1554" s="5"/>
      <c r="N1554" s="5"/>
      <c r="O1554" s="5"/>
      <c r="P1554" s="5"/>
    </row>
    <row r="1555" spans="2:16" s="8" customFormat="1" ht="12.75" hidden="1" customHeight="1">
      <c r="B1555" s="37"/>
      <c r="C1555" s="37"/>
      <c r="D1555" s="38"/>
      <c r="E1555" s="38"/>
      <c r="F1555" s="39"/>
      <c r="K1555" s="5"/>
      <c r="L1555" s="5"/>
      <c r="M1555" s="5"/>
      <c r="N1555" s="5"/>
      <c r="O1555" s="5"/>
      <c r="P1555" s="5"/>
    </row>
    <row r="1556" spans="2:16" s="8" customFormat="1" ht="12.75" hidden="1" customHeight="1">
      <c r="B1556" s="37"/>
      <c r="C1556" s="37"/>
      <c r="D1556" s="38"/>
      <c r="E1556" s="38"/>
      <c r="F1556" s="39"/>
      <c r="K1556" s="5"/>
      <c r="L1556" s="5"/>
      <c r="M1556" s="5"/>
      <c r="N1556" s="5"/>
      <c r="O1556" s="5"/>
      <c r="P1556" s="5"/>
    </row>
    <row r="1557" spans="2:16" s="8" customFormat="1" ht="12.75" hidden="1" customHeight="1">
      <c r="B1557" s="37"/>
      <c r="C1557" s="37"/>
      <c r="D1557" s="38"/>
      <c r="E1557" s="38"/>
      <c r="F1557" s="39"/>
      <c r="K1557" s="5"/>
      <c r="L1557" s="5"/>
      <c r="M1557" s="5"/>
      <c r="N1557" s="5"/>
      <c r="O1557" s="5"/>
      <c r="P1557" s="5"/>
    </row>
    <row r="1558" spans="2:16" s="8" customFormat="1" ht="12.75" hidden="1" customHeight="1">
      <c r="B1558" s="37"/>
      <c r="C1558" s="37"/>
      <c r="D1558" s="38"/>
      <c r="E1558" s="38"/>
      <c r="F1558" s="39"/>
      <c r="K1558" s="5"/>
      <c r="L1558" s="5"/>
      <c r="M1558" s="5"/>
      <c r="N1558" s="5"/>
      <c r="O1558" s="5"/>
      <c r="P1558" s="5"/>
    </row>
    <row r="1559" spans="2:16" s="8" customFormat="1" ht="12.75" hidden="1" customHeight="1">
      <c r="B1559" s="37"/>
      <c r="C1559" s="37"/>
      <c r="D1559" s="38"/>
      <c r="E1559" s="38"/>
      <c r="F1559" s="39"/>
      <c r="K1559" s="5"/>
      <c r="L1559" s="5"/>
      <c r="M1559" s="5"/>
      <c r="N1559" s="5"/>
      <c r="O1559" s="5"/>
      <c r="P1559" s="5"/>
    </row>
    <row r="1560" spans="2:16" s="8" customFormat="1" ht="12.75" hidden="1" customHeight="1">
      <c r="B1560" s="37"/>
      <c r="C1560" s="37"/>
      <c r="D1560" s="38"/>
      <c r="E1560" s="38"/>
      <c r="F1560" s="39"/>
      <c r="K1560" s="5"/>
      <c r="L1560" s="5"/>
      <c r="M1560" s="5"/>
      <c r="N1560" s="5"/>
      <c r="O1560" s="5"/>
      <c r="P1560" s="5"/>
    </row>
    <row r="1561" spans="2:16" s="8" customFormat="1" ht="12.75" hidden="1" customHeight="1">
      <c r="B1561" s="37"/>
      <c r="C1561" s="37"/>
      <c r="D1561" s="38"/>
      <c r="E1561" s="38"/>
      <c r="F1561" s="39"/>
      <c r="K1561" s="5"/>
      <c r="L1561" s="5"/>
      <c r="M1561" s="5"/>
      <c r="N1561" s="5"/>
      <c r="O1561" s="5"/>
      <c r="P1561" s="5"/>
    </row>
    <row r="1562" spans="2:16" s="8" customFormat="1" ht="12.75" hidden="1" customHeight="1">
      <c r="B1562" s="37"/>
      <c r="C1562" s="37"/>
      <c r="D1562" s="38"/>
      <c r="E1562" s="38"/>
      <c r="F1562" s="39"/>
      <c r="K1562" s="5"/>
      <c r="L1562" s="5"/>
      <c r="M1562" s="5"/>
      <c r="N1562" s="5"/>
      <c r="O1562" s="5"/>
      <c r="P1562" s="5"/>
    </row>
    <row r="1563" spans="2:16" s="8" customFormat="1" ht="12.75" hidden="1" customHeight="1">
      <c r="B1563" s="37"/>
      <c r="C1563" s="37"/>
      <c r="D1563" s="38"/>
      <c r="E1563" s="38"/>
      <c r="F1563" s="39"/>
      <c r="K1563" s="5"/>
      <c r="L1563" s="5"/>
      <c r="M1563" s="5"/>
      <c r="N1563" s="5"/>
      <c r="O1563" s="5"/>
      <c r="P1563" s="5"/>
    </row>
    <row r="1564" spans="2:16" s="8" customFormat="1" ht="12.75" hidden="1" customHeight="1">
      <c r="B1564" s="37"/>
      <c r="C1564" s="37"/>
      <c r="D1564" s="38"/>
      <c r="E1564" s="38"/>
      <c r="F1564" s="39"/>
      <c r="K1564" s="5"/>
      <c r="L1564" s="5"/>
      <c r="M1564" s="5"/>
      <c r="N1564" s="5"/>
      <c r="O1564" s="5"/>
      <c r="P1564" s="5"/>
    </row>
    <row r="1565" spans="2:16" s="8" customFormat="1" ht="12.75" hidden="1" customHeight="1">
      <c r="B1565" s="37"/>
      <c r="C1565" s="37"/>
      <c r="D1565" s="38"/>
      <c r="E1565" s="38"/>
      <c r="F1565" s="39"/>
      <c r="K1565" s="5"/>
      <c r="L1565" s="5"/>
      <c r="M1565" s="5"/>
      <c r="N1565" s="5"/>
      <c r="O1565" s="5"/>
      <c r="P1565" s="5"/>
    </row>
    <row r="1566" spans="2:16" s="8" customFormat="1" ht="12.75" hidden="1" customHeight="1">
      <c r="B1566" s="37"/>
      <c r="C1566" s="37"/>
      <c r="D1566" s="38"/>
      <c r="E1566" s="38"/>
      <c r="F1566" s="39"/>
      <c r="K1566" s="5"/>
      <c r="L1566" s="5"/>
      <c r="M1566" s="5"/>
      <c r="N1566" s="5"/>
      <c r="O1566" s="5"/>
      <c r="P1566" s="5"/>
    </row>
    <row r="1567" spans="2:16" s="8" customFormat="1" ht="12.75" hidden="1" customHeight="1">
      <c r="B1567" s="37"/>
      <c r="C1567" s="37"/>
      <c r="D1567" s="38"/>
      <c r="E1567" s="38"/>
      <c r="F1567" s="39"/>
      <c r="K1567" s="5"/>
      <c r="L1567" s="5"/>
      <c r="M1567" s="5"/>
      <c r="N1567" s="5"/>
      <c r="O1567" s="5"/>
      <c r="P1567" s="5"/>
    </row>
    <row r="1568" spans="2:16" s="8" customFormat="1" ht="12.75" hidden="1" customHeight="1">
      <c r="B1568" s="37"/>
      <c r="C1568" s="37"/>
      <c r="D1568" s="38"/>
      <c r="E1568" s="38"/>
      <c r="F1568" s="39"/>
      <c r="K1568" s="5"/>
      <c r="L1568" s="5"/>
      <c r="M1568" s="5"/>
      <c r="N1568" s="5"/>
      <c r="O1568" s="5"/>
      <c r="P1568" s="5"/>
    </row>
    <row r="1569" spans="2:16" s="8" customFormat="1" ht="12.75" hidden="1" customHeight="1">
      <c r="B1569" s="37"/>
      <c r="C1569" s="37"/>
      <c r="D1569" s="38"/>
      <c r="E1569" s="38"/>
      <c r="F1569" s="39"/>
      <c r="K1569" s="5"/>
      <c r="L1569" s="5"/>
      <c r="M1569" s="5"/>
      <c r="N1569" s="5"/>
      <c r="O1569" s="5"/>
      <c r="P1569" s="5"/>
    </row>
    <row r="1570" spans="2:16" s="8" customFormat="1" ht="12.75" hidden="1" customHeight="1">
      <c r="B1570" s="37"/>
      <c r="C1570" s="37"/>
      <c r="D1570" s="38"/>
      <c r="E1570" s="38"/>
      <c r="F1570" s="39"/>
      <c r="K1570" s="5"/>
      <c r="L1570" s="5"/>
      <c r="M1570" s="5"/>
      <c r="N1570" s="5"/>
      <c r="O1570" s="5"/>
      <c r="P1570" s="5"/>
    </row>
    <row r="1571" spans="2:16" s="8" customFormat="1" ht="12.75" hidden="1" customHeight="1">
      <c r="B1571" s="37"/>
      <c r="C1571" s="37"/>
      <c r="D1571" s="38"/>
      <c r="E1571" s="38"/>
      <c r="F1571" s="39"/>
      <c r="K1571" s="5"/>
      <c r="L1571" s="5"/>
      <c r="M1571" s="5"/>
      <c r="N1571" s="5"/>
      <c r="O1571" s="5"/>
      <c r="P1571" s="5"/>
    </row>
    <row r="1572" spans="2:16" s="8" customFormat="1" ht="12.75" hidden="1" customHeight="1">
      <c r="B1572" s="37"/>
      <c r="C1572" s="37"/>
      <c r="D1572" s="38"/>
      <c r="E1572" s="38"/>
      <c r="F1572" s="39"/>
      <c r="K1572" s="5"/>
      <c r="L1572" s="5"/>
      <c r="M1572" s="5"/>
      <c r="N1572" s="5"/>
      <c r="O1572" s="5"/>
      <c r="P1572" s="5"/>
    </row>
    <row r="1573" spans="2:16" s="8" customFormat="1" ht="12.75" hidden="1" customHeight="1">
      <c r="B1573" s="37"/>
      <c r="C1573" s="37"/>
      <c r="D1573" s="38"/>
      <c r="E1573" s="38"/>
      <c r="F1573" s="39"/>
      <c r="K1573" s="5"/>
      <c r="L1573" s="5"/>
      <c r="M1573" s="5"/>
      <c r="N1573" s="5"/>
      <c r="O1573" s="5"/>
      <c r="P1573" s="5"/>
    </row>
    <row r="1574" spans="2:16" s="8" customFormat="1" ht="12.75" hidden="1" customHeight="1">
      <c r="B1574" s="37"/>
      <c r="C1574" s="37"/>
      <c r="D1574" s="38"/>
      <c r="E1574" s="38"/>
      <c r="F1574" s="39"/>
      <c r="K1574" s="5"/>
      <c r="L1574" s="5"/>
      <c r="M1574" s="5"/>
      <c r="N1574" s="5"/>
      <c r="O1574" s="5"/>
      <c r="P1574" s="5"/>
    </row>
    <row r="1575" spans="2:16" s="8" customFormat="1" ht="12.75" hidden="1" customHeight="1">
      <c r="B1575" s="37"/>
      <c r="C1575" s="37"/>
      <c r="D1575" s="38"/>
      <c r="E1575" s="38"/>
      <c r="F1575" s="39"/>
      <c r="K1575" s="5"/>
      <c r="L1575" s="5"/>
      <c r="M1575" s="5"/>
      <c r="N1575" s="5"/>
      <c r="O1575" s="5"/>
      <c r="P1575" s="5"/>
    </row>
    <row r="1576" spans="2:16" s="8" customFormat="1" ht="12.75" hidden="1" customHeight="1">
      <c r="B1576" s="37"/>
      <c r="C1576" s="37"/>
      <c r="D1576" s="38"/>
      <c r="E1576" s="38"/>
      <c r="F1576" s="39"/>
      <c r="K1576" s="5"/>
      <c r="L1576" s="5"/>
      <c r="M1576" s="5"/>
      <c r="N1576" s="5"/>
      <c r="O1576" s="5"/>
      <c r="P1576" s="5"/>
    </row>
    <row r="1577" spans="2:16" s="8" customFormat="1" ht="12.75" hidden="1" customHeight="1">
      <c r="B1577" s="37"/>
      <c r="C1577" s="37"/>
      <c r="D1577" s="38"/>
      <c r="E1577" s="38"/>
      <c r="F1577" s="39"/>
      <c r="K1577" s="5"/>
      <c r="L1577" s="5"/>
      <c r="M1577" s="5"/>
      <c r="N1577" s="5"/>
      <c r="O1577" s="5"/>
      <c r="P1577" s="5"/>
    </row>
    <row r="1578" spans="2:16" s="8" customFormat="1" ht="12.75" hidden="1" customHeight="1">
      <c r="B1578" s="37"/>
      <c r="C1578" s="37"/>
      <c r="D1578" s="38"/>
      <c r="E1578" s="38"/>
      <c r="F1578" s="39"/>
      <c r="K1578" s="5"/>
      <c r="L1578" s="5"/>
      <c r="M1578" s="5"/>
      <c r="N1578" s="5"/>
      <c r="O1578" s="5"/>
      <c r="P1578" s="5"/>
    </row>
    <row r="1579" spans="2:16" s="8" customFormat="1" ht="12.75" hidden="1" customHeight="1">
      <c r="B1579" s="37"/>
      <c r="C1579" s="37"/>
      <c r="D1579" s="38"/>
      <c r="E1579" s="38"/>
      <c r="F1579" s="39"/>
      <c r="K1579" s="5"/>
      <c r="L1579" s="5"/>
      <c r="M1579" s="5"/>
      <c r="N1579" s="5"/>
      <c r="O1579" s="5"/>
      <c r="P1579" s="5"/>
    </row>
    <row r="1580" spans="2:16" s="8" customFormat="1" ht="12.75" hidden="1" customHeight="1">
      <c r="B1580" s="37"/>
      <c r="C1580" s="37"/>
      <c r="D1580" s="38"/>
      <c r="E1580" s="38"/>
      <c r="F1580" s="39"/>
      <c r="K1580" s="5"/>
      <c r="L1580" s="5"/>
      <c r="M1580" s="5"/>
      <c r="N1580" s="5"/>
      <c r="O1580" s="5"/>
      <c r="P1580" s="5"/>
    </row>
    <row r="1581" spans="2:16" s="8" customFormat="1" ht="12.75" hidden="1" customHeight="1">
      <c r="B1581" s="37"/>
      <c r="C1581" s="37"/>
      <c r="D1581" s="38"/>
      <c r="E1581" s="38"/>
      <c r="F1581" s="39"/>
      <c r="K1581" s="5"/>
      <c r="L1581" s="5"/>
      <c r="M1581" s="5"/>
      <c r="N1581" s="5"/>
      <c r="O1581" s="5"/>
      <c r="P1581" s="5"/>
    </row>
    <row r="1582" spans="2:16" s="8" customFormat="1" ht="12.75" hidden="1" customHeight="1">
      <c r="B1582" s="37"/>
      <c r="C1582" s="37"/>
      <c r="D1582" s="38"/>
      <c r="E1582" s="38"/>
      <c r="F1582" s="39"/>
      <c r="K1582" s="5"/>
      <c r="L1582" s="5"/>
      <c r="M1582" s="5"/>
      <c r="N1582" s="5"/>
      <c r="O1582" s="5"/>
      <c r="P1582" s="5"/>
    </row>
    <row r="1583" spans="2:16" s="8" customFormat="1" ht="12.75" hidden="1" customHeight="1">
      <c r="B1583" s="37"/>
      <c r="C1583" s="37"/>
      <c r="D1583" s="38"/>
      <c r="E1583" s="38"/>
      <c r="F1583" s="39"/>
      <c r="K1583" s="5"/>
      <c r="L1583" s="5"/>
      <c r="M1583" s="5"/>
      <c r="N1583" s="5"/>
      <c r="O1583" s="5"/>
      <c r="P1583" s="5"/>
    </row>
    <row r="1584" spans="2:16" s="8" customFormat="1" ht="12.75" hidden="1" customHeight="1">
      <c r="B1584" s="37"/>
      <c r="C1584" s="37"/>
      <c r="D1584" s="38"/>
      <c r="E1584" s="38"/>
      <c r="F1584" s="39"/>
      <c r="K1584" s="5"/>
      <c r="L1584" s="5"/>
      <c r="M1584" s="5"/>
      <c r="N1584" s="5"/>
      <c r="O1584" s="5"/>
      <c r="P1584" s="5"/>
    </row>
    <row r="1585" spans="2:16" s="8" customFormat="1" ht="12.75" hidden="1" customHeight="1">
      <c r="B1585" s="37"/>
      <c r="C1585" s="37"/>
      <c r="D1585" s="38"/>
      <c r="E1585" s="38"/>
      <c r="F1585" s="39"/>
      <c r="K1585" s="5"/>
      <c r="L1585" s="5"/>
      <c r="M1585" s="5"/>
      <c r="N1585" s="5"/>
      <c r="O1585" s="5"/>
      <c r="P1585" s="5"/>
    </row>
    <row r="1586" spans="2:16" s="8" customFormat="1" ht="12.75" hidden="1" customHeight="1">
      <c r="B1586" s="37"/>
      <c r="C1586" s="37"/>
      <c r="D1586" s="38"/>
      <c r="E1586" s="38"/>
      <c r="F1586" s="39"/>
      <c r="K1586" s="5"/>
      <c r="L1586" s="5"/>
      <c r="M1586" s="5"/>
      <c r="N1586" s="5"/>
      <c r="O1586" s="5"/>
      <c r="P1586" s="5"/>
    </row>
    <row r="1587" spans="2:16" s="8" customFormat="1" ht="12.75" hidden="1" customHeight="1">
      <c r="B1587" s="37"/>
      <c r="C1587" s="37"/>
      <c r="D1587" s="38"/>
      <c r="E1587" s="38"/>
      <c r="F1587" s="39"/>
      <c r="K1587" s="5"/>
      <c r="L1587" s="5"/>
      <c r="M1587" s="5"/>
      <c r="N1587" s="5"/>
      <c r="O1587" s="5"/>
      <c r="P1587" s="5"/>
    </row>
    <row r="1588" spans="2:16" s="8" customFormat="1" ht="12.75" hidden="1" customHeight="1">
      <c r="B1588" s="37"/>
      <c r="C1588" s="37"/>
      <c r="D1588" s="38"/>
      <c r="E1588" s="38"/>
      <c r="F1588" s="39"/>
      <c r="K1588" s="5"/>
      <c r="L1588" s="5"/>
      <c r="M1588" s="5"/>
      <c r="N1588" s="5"/>
      <c r="O1588" s="5"/>
      <c r="P1588" s="5"/>
    </row>
    <row r="1589" spans="2:16" s="8" customFormat="1" ht="12.75" hidden="1" customHeight="1">
      <c r="B1589" s="37"/>
      <c r="C1589" s="37"/>
      <c r="D1589" s="38"/>
      <c r="E1589" s="38"/>
      <c r="F1589" s="39"/>
      <c r="K1589" s="5"/>
      <c r="L1589" s="5"/>
      <c r="M1589" s="5"/>
      <c r="N1589" s="5"/>
      <c r="O1589" s="5"/>
      <c r="P1589" s="5"/>
    </row>
    <row r="1590" spans="2:16" s="8" customFormat="1" ht="12.75" hidden="1" customHeight="1">
      <c r="B1590" s="37"/>
      <c r="C1590" s="37"/>
      <c r="D1590" s="38"/>
      <c r="E1590" s="38"/>
      <c r="F1590" s="39"/>
      <c r="K1590" s="5"/>
      <c r="L1590" s="5"/>
      <c r="M1590" s="5"/>
      <c r="N1590" s="5"/>
      <c r="O1590" s="5"/>
      <c r="P1590" s="5"/>
    </row>
    <row r="1591" spans="2:16" s="8" customFormat="1" ht="12.75" hidden="1" customHeight="1">
      <c r="B1591" s="37"/>
      <c r="C1591" s="37"/>
      <c r="D1591" s="38"/>
      <c r="E1591" s="38"/>
      <c r="F1591" s="39"/>
      <c r="K1591" s="5"/>
      <c r="L1591" s="5"/>
      <c r="M1591" s="5"/>
      <c r="N1591" s="5"/>
      <c r="O1591" s="5"/>
      <c r="P1591" s="5"/>
    </row>
    <row r="1592" spans="2:16" s="8" customFormat="1" ht="12.75" hidden="1" customHeight="1">
      <c r="B1592" s="37"/>
      <c r="C1592" s="37"/>
      <c r="D1592" s="38"/>
      <c r="E1592" s="38"/>
      <c r="F1592" s="39"/>
      <c r="K1592" s="5"/>
      <c r="L1592" s="5"/>
      <c r="M1592" s="5"/>
      <c r="N1592" s="5"/>
      <c r="O1592" s="5"/>
      <c r="P1592" s="5"/>
    </row>
    <row r="1593" spans="2:16" s="8" customFormat="1" ht="12.75" hidden="1" customHeight="1">
      <c r="B1593" s="37"/>
      <c r="C1593" s="37"/>
      <c r="D1593" s="38"/>
      <c r="E1593" s="38"/>
      <c r="F1593" s="39"/>
      <c r="K1593" s="5"/>
      <c r="L1593" s="5"/>
      <c r="M1593" s="5"/>
      <c r="N1593" s="5"/>
      <c r="O1593" s="5"/>
      <c r="P1593" s="5"/>
    </row>
    <row r="1594" spans="2:16" s="8" customFormat="1" ht="12.75" hidden="1" customHeight="1">
      <c r="B1594" s="37"/>
      <c r="C1594" s="37"/>
      <c r="D1594" s="38"/>
      <c r="E1594" s="38"/>
      <c r="F1594" s="39"/>
      <c r="K1594" s="5"/>
      <c r="L1594" s="5"/>
      <c r="M1594" s="5"/>
      <c r="N1594" s="5"/>
      <c r="O1594" s="5"/>
      <c r="P1594" s="5"/>
    </row>
    <row r="1595" spans="2:16" s="8" customFormat="1" ht="12.75" hidden="1" customHeight="1">
      <c r="B1595" s="37"/>
      <c r="C1595" s="37"/>
      <c r="D1595" s="38"/>
      <c r="E1595" s="38"/>
      <c r="F1595" s="39"/>
      <c r="K1595" s="5"/>
      <c r="L1595" s="5"/>
      <c r="M1595" s="5"/>
      <c r="N1595" s="5"/>
      <c r="O1595" s="5"/>
      <c r="P1595" s="5"/>
    </row>
    <row r="1596" spans="2:16" s="8" customFormat="1" ht="12.75" hidden="1" customHeight="1">
      <c r="B1596" s="37"/>
      <c r="C1596" s="37"/>
      <c r="D1596" s="38"/>
      <c r="E1596" s="38"/>
      <c r="F1596" s="39"/>
      <c r="K1596" s="5"/>
      <c r="L1596" s="5"/>
      <c r="M1596" s="5"/>
      <c r="N1596" s="5"/>
      <c r="O1596" s="5"/>
      <c r="P1596" s="5"/>
    </row>
    <row r="1597" spans="2:16" s="8" customFormat="1" ht="12.75" hidden="1" customHeight="1">
      <c r="B1597" s="37"/>
      <c r="C1597" s="37"/>
      <c r="D1597" s="38"/>
      <c r="E1597" s="38"/>
      <c r="F1597" s="39"/>
      <c r="K1597" s="5"/>
      <c r="L1597" s="5"/>
      <c r="M1597" s="5"/>
      <c r="N1597" s="5"/>
      <c r="O1597" s="5"/>
      <c r="P1597" s="5"/>
    </row>
    <row r="1598" spans="2:16" s="8" customFormat="1" ht="12.75" hidden="1" customHeight="1">
      <c r="B1598" s="37"/>
      <c r="C1598" s="37"/>
      <c r="D1598" s="38"/>
      <c r="E1598" s="38"/>
      <c r="F1598" s="39"/>
      <c r="K1598" s="5"/>
      <c r="L1598" s="5"/>
      <c r="M1598" s="5"/>
      <c r="N1598" s="5"/>
      <c r="O1598" s="5"/>
      <c r="P1598" s="5"/>
    </row>
    <row r="1599" spans="2:16" s="8" customFormat="1" ht="12.75" hidden="1" customHeight="1">
      <c r="B1599" s="37"/>
      <c r="C1599" s="37"/>
      <c r="D1599" s="38"/>
      <c r="E1599" s="38"/>
      <c r="F1599" s="39"/>
      <c r="K1599" s="5"/>
      <c r="L1599" s="5"/>
      <c r="M1599" s="5"/>
      <c r="N1599" s="5"/>
      <c r="O1599" s="5"/>
      <c r="P1599" s="5"/>
    </row>
    <row r="1600" spans="2:16" s="8" customFormat="1" ht="12.75" hidden="1" customHeight="1">
      <c r="B1600" s="37"/>
      <c r="C1600" s="37"/>
      <c r="D1600" s="38"/>
      <c r="E1600" s="38"/>
      <c r="F1600" s="39"/>
      <c r="K1600" s="5"/>
      <c r="L1600" s="5"/>
      <c r="M1600" s="5"/>
      <c r="N1600" s="5"/>
      <c r="O1600" s="5"/>
      <c r="P1600" s="5"/>
    </row>
    <row r="1601" spans="2:16" s="8" customFormat="1" ht="12.75" hidden="1" customHeight="1">
      <c r="B1601" s="37"/>
      <c r="C1601" s="37"/>
      <c r="D1601" s="38"/>
      <c r="E1601" s="38"/>
      <c r="F1601" s="39"/>
      <c r="K1601" s="5"/>
      <c r="L1601" s="5"/>
      <c r="M1601" s="5"/>
      <c r="N1601" s="5"/>
      <c r="O1601" s="5"/>
      <c r="P1601" s="5"/>
    </row>
    <row r="1602" spans="2:16" s="8" customFormat="1" ht="12.75" hidden="1" customHeight="1">
      <c r="B1602" s="37"/>
      <c r="C1602" s="37"/>
      <c r="D1602" s="38"/>
      <c r="E1602" s="38"/>
      <c r="F1602" s="39"/>
      <c r="K1602" s="5"/>
      <c r="L1602" s="5"/>
      <c r="M1602" s="5"/>
      <c r="N1602" s="5"/>
      <c r="O1602" s="5"/>
      <c r="P1602" s="5"/>
    </row>
    <row r="1603" spans="2:16" s="8" customFormat="1" ht="12.75" hidden="1" customHeight="1">
      <c r="B1603" s="37"/>
      <c r="C1603" s="37"/>
      <c r="D1603" s="38"/>
      <c r="E1603" s="38"/>
      <c r="F1603" s="39"/>
      <c r="K1603" s="5"/>
      <c r="L1603" s="5"/>
      <c r="M1603" s="5"/>
      <c r="N1603" s="5"/>
      <c r="O1603" s="5"/>
      <c r="P1603" s="5"/>
    </row>
    <row r="1604" spans="2:16" s="8" customFormat="1" ht="12.75" hidden="1" customHeight="1">
      <c r="B1604" s="37"/>
      <c r="C1604" s="37"/>
      <c r="D1604" s="38"/>
      <c r="E1604" s="38"/>
      <c r="F1604" s="39"/>
      <c r="K1604" s="5"/>
      <c r="L1604" s="5"/>
      <c r="M1604" s="5"/>
      <c r="N1604" s="5"/>
      <c r="O1604" s="5"/>
      <c r="P1604" s="5"/>
    </row>
    <row r="1605" spans="2:16" s="8" customFormat="1" ht="12.75" hidden="1" customHeight="1">
      <c r="B1605" s="37"/>
      <c r="C1605" s="37"/>
      <c r="D1605" s="38"/>
      <c r="E1605" s="38"/>
      <c r="F1605" s="39"/>
      <c r="K1605" s="5"/>
      <c r="L1605" s="5"/>
      <c r="M1605" s="5"/>
      <c r="N1605" s="5"/>
      <c r="O1605" s="5"/>
      <c r="P1605" s="5"/>
    </row>
    <row r="1606" spans="2:16" s="8" customFormat="1" ht="12.75" hidden="1" customHeight="1">
      <c r="B1606" s="37"/>
      <c r="C1606" s="37"/>
      <c r="D1606" s="38"/>
      <c r="E1606" s="38"/>
      <c r="F1606" s="39"/>
      <c r="K1606" s="5"/>
      <c r="L1606" s="5"/>
      <c r="M1606" s="5"/>
      <c r="N1606" s="5"/>
      <c r="O1606" s="5"/>
      <c r="P1606" s="5"/>
    </row>
    <row r="1607" spans="2:16" s="8" customFormat="1" ht="12.75" hidden="1" customHeight="1">
      <c r="B1607" s="37"/>
      <c r="C1607" s="37"/>
      <c r="D1607" s="38"/>
      <c r="E1607" s="38"/>
      <c r="F1607" s="39"/>
      <c r="K1607" s="5"/>
      <c r="L1607" s="5"/>
      <c r="M1607" s="5"/>
      <c r="N1607" s="5"/>
      <c r="O1607" s="5"/>
      <c r="P1607" s="5"/>
    </row>
    <row r="1608" spans="2:16" s="8" customFormat="1" ht="12.75" hidden="1" customHeight="1">
      <c r="B1608" s="37"/>
      <c r="C1608" s="37"/>
      <c r="D1608" s="38"/>
      <c r="E1608" s="38"/>
      <c r="F1608" s="39"/>
      <c r="K1608" s="5"/>
      <c r="L1608" s="5"/>
      <c r="M1608" s="5"/>
      <c r="N1608" s="5"/>
      <c r="O1608" s="5"/>
      <c r="P1608" s="5"/>
    </row>
    <row r="1609" spans="2:16" s="8" customFormat="1" ht="12.75" hidden="1" customHeight="1">
      <c r="B1609" s="37"/>
      <c r="C1609" s="37"/>
      <c r="D1609" s="38"/>
      <c r="E1609" s="38"/>
      <c r="F1609" s="39"/>
      <c r="K1609" s="5"/>
      <c r="L1609" s="5"/>
      <c r="M1609" s="5"/>
      <c r="N1609" s="5"/>
      <c r="O1609" s="5"/>
      <c r="P1609" s="5"/>
    </row>
    <row r="1610" spans="2:16" s="8" customFormat="1" ht="12.75" hidden="1" customHeight="1">
      <c r="B1610" s="37"/>
      <c r="C1610" s="37"/>
      <c r="D1610" s="38"/>
      <c r="E1610" s="38"/>
      <c r="F1610" s="39"/>
      <c r="K1610" s="5"/>
      <c r="L1610" s="5"/>
      <c r="M1610" s="5"/>
      <c r="N1610" s="5"/>
      <c r="O1610" s="5"/>
      <c r="P1610" s="5"/>
    </row>
    <row r="1611" spans="2:16" s="8" customFormat="1" ht="12.75" hidden="1" customHeight="1">
      <c r="B1611" s="37"/>
      <c r="C1611" s="37"/>
      <c r="D1611" s="38"/>
      <c r="E1611" s="38"/>
      <c r="F1611" s="39"/>
      <c r="K1611" s="5"/>
      <c r="L1611" s="5"/>
      <c r="M1611" s="5"/>
      <c r="N1611" s="5"/>
      <c r="O1611" s="5"/>
      <c r="P1611" s="5"/>
    </row>
    <row r="1612" spans="2:16" s="8" customFormat="1" ht="12.75" hidden="1" customHeight="1">
      <c r="B1612" s="37"/>
      <c r="C1612" s="37"/>
      <c r="D1612" s="38"/>
      <c r="E1612" s="38"/>
      <c r="F1612" s="39"/>
      <c r="K1612" s="5"/>
      <c r="L1612" s="5"/>
      <c r="M1612" s="5"/>
      <c r="N1612" s="5"/>
      <c r="O1612" s="5"/>
      <c r="P1612" s="5"/>
    </row>
    <row r="1613" spans="2:16" s="8" customFormat="1" ht="12.75" hidden="1" customHeight="1">
      <c r="B1613" s="37"/>
      <c r="C1613" s="37"/>
      <c r="D1613" s="38"/>
      <c r="E1613" s="38"/>
      <c r="F1613" s="39"/>
      <c r="K1613" s="5"/>
      <c r="L1613" s="5"/>
      <c r="M1613" s="5"/>
      <c r="N1613" s="5"/>
      <c r="O1613" s="5"/>
      <c r="P1613" s="5"/>
    </row>
    <row r="1614" spans="2:16" s="8" customFormat="1" ht="12.75" hidden="1" customHeight="1">
      <c r="B1614" s="37"/>
      <c r="C1614" s="37"/>
      <c r="D1614" s="38"/>
      <c r="E1614" s="38"/>
      <c r="F1614" s="39"/>
      <c r="K1614" s="5"/>
      <c r="L1614" s="5"/>
      <c r="M1614" s="5"/>
      <c r="N1614" s="5"/>
      <c r="O1614" s="5"/>
      <c r="P1614" s="5"/>
    </row>
    <row r="1615" spans="2:16" s="8" customFormat="1" ht="12.75" hidden="1" customHeight="1">
      <c r="B1615" s="37"/>
      <c r="C1615" s="37"/>
      <c r="D1615" s="38"/>
      <c r="E1615" s="38"/>
      <c r="F1615" s="39"/>
      <c r="K1615" s="5"/>
      <c r="L1615" s="5"/>
      <c r="M1615" s="5"/>
      <c r="N1615" s="5"/>
      <c r="O1615" s="5"/>
      <c r="P1615" s="5"/>
    </row>
    <row r="1616" spans="2:16" s="8" customFormat="1" ht="12.75" hidden="1" customHeight="1">
      <c r="B1616" s="37"/>
      <c r="C1616" s="37"/>
      <c r="D1616" s="38"/>
      <c r="E1616" s="38"/>
      <c r="F1616" s="39"/>
      <c r="K1616" s="5"/>
      <c r="L1616" s="5"/>
      <c r="M1616" s="5"/>
      <c r="N1616" s="5"/>
      <c r="O1616" s="5"/>
      <c r="P1616" s="5"/>
    </row>
    <row r="1617" spans="2:16" s="8" customFormat="1" ht="12.75" hidden="1" customHeight="1">
      <c r="B1617" s="37"/>
      <c r="C1617" s="37"/>
      <c r="D1617" s="38"/>
      <c r="E1617" s="38"/>
      <c r="F1617" s="39"/>
      <c r="K1617" s="5"/>
      <c r="L1617" s="5"/>
      <c r="M1617" s="5"/>
      <c r="N1617" s="5"/>
      <c r="O1617" s="5"/>
      <c r="P1617" s="5"/>
    </row>
    <row r="1618" spans="2:16" s="8" customFormat="1" ht="12.75" hidden="1" customHeight="1">
      <c r="B1618" s="37"/>
      <c r="C1618" s="37"/>
      <c r="D1618" s="38"/>
      <c r="E1618" s="38"/>
      <c r="F1618" s="39"/>
      <c r="K1618" s="5"/>
      <c r="L1618" s="5"/>
      <c r="M1618" s="5"/>
      <c r="N1618" s="5"/>
      <c r="O1618" s="5"/>
      <c r="P1618" s="5"/>
    </row>
    <row r="1619" spans="2:16" s="8" customFormat="1" ht="12.75" hidden="1" customHeight="1">
      <c r="B1619" s="37"/>
      <c r="C1619" s="37"/>
      <c r="D1619" s="38"/>
      <c r="E1619" s="38"/>
      <c r="F1619" s="39"/>
      <c r="K1619" s="5"/>
      <c r="L1619" s="5"/>
      <c r="M1619" s="5"/>
      <c r="N1619" s="5"/>
      <c r="O1619" s="5"/>
      <c r="P1619" s="5"/>
    </row>
    <row r="1620" spans="2:16" s="8" customFormat="1" ht="12.75" hidden="1" customHeight="1">
      <c r="B1620" s="37"/>
      <c r="C1620" s="37"/>
      <c r="D1620" s="38"/>
      <c r="E1620" s="38"/>
      <c r="F1620" s="39"/>
      <c r="K1620" s="5"/>
      <c r="L1620" s="5"/>
      <c r="M1620" s="5"/>
      <c r="N1620" s="5"/>
      <c r="O1620" s="5"/>
      <c r="P1620" s="5"/>
    </row>
    <row r="1621" spans="2:16" s="8" customFormat="1" ht="12.75" hidden="1" customHeight="1">
      <c r="B1621" s="37"/>
      <c r="C1621" s="37"/>
      <c r="D1621" s="38"/>
      <c r="E1621" s="38"/>
      <c r="F1621" s="39"/>
      <c r="K1621" s="5"/>
      <c r="L1621" s="5"/>
      <c r="M1621" s="5"/>
      <c r="N1621" s="5"/>
      <c r="O1621" s="5"/>
      <c r="P1621" s="5"/>
    </row>
    <row r="1622" spans="2:16" s="8" customFormat="1" ht="12.75" hidden="1" customHeight="1">
      <c r="B1622" s="37"/>
      <c r="C1622" s="37"/>
      <c r="D1622" s="38"/>
      <c r="E1622" s="38"/>
      <c r="F1622" s="39"/>
      <c r="K1622" s="5"/>
      <c r="L1622" s="5"/>
      <c r="M1622" s="5"/>
      <c r="N1622" s="5"/>
      <c r="O1622" s="5"/>
      <c r="P1622" s="5"/>
    </row>
    <row r="1623" spans="2:16" s="8" customFormat="1" ht="12.75" hidden="1" customHeight="1">
      <c r="B1623" s="37"/>
      <c r="C1623" s="37"/>
      <c r="D1623" s="38"/>
      <c r="E1623" s="38"/>
      <c r="F1623" s="39"/>
      <c r="K1623" s="5"/>
      <c r="L1623" s="5"/>
      <c r="M1623" s="5"/>
      <c r="N1623" s="5"/>
      <c r="O1623" s="5"/>
      <c r="P1623" s="5"/>
    </row>
    <row r="1624" spans="2:16" s="8" customFormat="1" ht="12.75" hidden="1" customHeight="1">
      <c r="B1624" s="37"/>
      <c r="C1624" s="37"/>
      <c r="D1624" s="38"/>
      <c r="E1624" s="38"/>
      <c r="F1624" s="39"/>
      <c r="K1624" s="5"/>
      <c r="L1624" s="5"/>
      <c r="M1624" s="5"/>
      <c r="N1624" s="5"/>
      <c r="O1624" s="5"/>
      <c r="P1624" s="5"/>
    </row>
    <row r="1625" spans="2:16" s="8" customFormat="1" ht="12.75" hidden="1" customHeight="1">
      <c r="B1625" s="37"/>
      <c r="C1625" s="37"/>
      <c r="D1625" s="38"/>
      <c r="E1625" s="38"/>
      <c r="F1625" s="39"/>
      <c r="K1625" s="5"/>
      <c r="L1625" s="5"/>
      <c r="M1625" s="5"/>
      <c r="N1625" s="5"/>
      <c r="O1625" s="5"/>
      <c r="P1625" s="5"/>
    </row>
    <row r="1626" spans="2:16" s="8" customFormat="1" ht="12.75" hidden="1" customHeight="1">
      <c r="B1626" s="37"/>
      <c r="C1626" s="37"/>
      <c r="D1626" s="38"/>
      <c r="E1626" s="38"/>
      <c r="F1626" s="39"/>
      <c r="K1626" s="5"/>
      <c r="L1626" s="5"/>
      <c r="M1626" s="5"/>
      <c r="N1626" s="5"/>
      <c r="O1626" s="5"/>
      <c r="P1626" s="5"/>
    </row>
    <row r="1627" spans="2:16" s="8" customFormat="1" ht="12.75" hidden="1" customHeight="1">
      <c r="B1627" s="37"/>
      <c r="C1627" s="37"/>
      <c r="D1627" s="38"/>
      <c r="E1627" s="38"/>
      <c r="F1627" s="39"/>
      <c r="K1627" s="5"/>
      <c r="L1627" s="5"/>
      <c r="M1627" s="5"/>
      <c r="N1627" s="5"/>
      <c r="O1627" s="5"/>
      <c r="P1627" s="5"/>
    </row>
    <row r="1628" spans="2:16" s="8" customFormat="1" ht="12.75" hidden="1" customHeight="1">
      <c r="B1628" s="37"/>
      <c r="C1628" s="37"/>
      <c r="D1628" s="38"/>
      <c r="E1628" s="38"/>
      <c r="F1628" s="39"/>
      <c r="K1628" s="5"/>
      <c r="L1628" s="5"/>
      <c r="M1628" s="5"/>
      <c r="N1628" s="5"/>
      <c r="O1628" s="5"/>
      <c r="P1628" s="5"/>
    </row>
    <row r="1629" spans="2:16" s="8" customFormat="1" ht="12.75" hidden="1" customHeight="1">
      <c r="B1629" s="37"/>
      <c r="C1629" s="37"/>
      <c r="D1629" s="38"/>
      <c r="E1629" s="38"/>
      <c r="F1629" s="39"/>
      <c r="K1629" s="5"/>
      <c r="L1629" s="5"/>
      <c r="M1629" s="5"/>
      <c r="N1629" s="5"/>
      <c r="O1629" s="5"/>
      <c r="P1629" s="5"/>
    </row>
    <row r="1630" spans="2:16" s="8" customFormat="1" ht="12.75" hidden="1" customHeight="1">
      <c r="B1630" s="37"/>
      <c r="C1630" s="37"/>
      <c r="D1630" s="38"/>
      <c r="E1630" s="38"/>
      <c r="F1630" s="39"/>
      <c r="K1630" s="5"/>
      <c r="L1630" s="5"/>
      <c r="M1630" s="5"/>
      <c r="N1630" s="5"/>
      <c r="O1630" s="5"/>
      <c r="P1630" s="5"/>
    </row>
    <row r="1631" spans="2:16" s="8" customFormat="1" ht="12.75" hidden="1" customHeight="1">
      <c r="B1631" s="37"/>
      <c r="C1631" s="37"/>
      <c r="D1631" s="38"/>
      <c r="E1631" s="38"/>
      <c r="F1631" s="39"/>
      <c r="K1631" s="5"/>
      <c r="L1631" s="5"/>
      <c r="M1631" s="5"/>
      <c r="N1631" s="5"/>
      <c r="O1631" s="5"/>
      <c r="P1631" s="5"/>
    </row>
    <row r="1632" spans="2:16" s="8" customFormat="1" ht="12.75" hidden="1" customHeight="1">
      <c r="B1632" s="37"/>
      <c r="C1632" s="37"/>
      <c r="D1632" s="38"/>
      <c r="E1632" s="38"/>
      <c r="F1632" s="39"/>
      <c r="K1632" s="5"/>
      <c r="L1632" s="5"/>
      <c r="M1632" s="5"/>
      <c r="N1632" s="5"/>
      <c r="O1632" s="5"/>
      <c r="P1632" s="5"/>
    </row>
    <row r="1633" spans="2:16" s="8" customFormat="1" ht="12.75" hidden="1" customHeight="1">
      <c r="B1633" s="37"/>
      <c r="C1633" s="37"/>
      <c r="D1633" s="38"/>
      <c r="E1633" s="38"/>
      <c r="F1633" s="39"/>
      <c r="K1633" s="5"/>
      <c r="L1633" s="5"/>
      <c r="M1633" s="5"/>
      <c r="N1633" s="5"/>
      <c r="O1633" s="5"/>
      <c r="P1633" s="5"/>
    </row>
    <row r="1634" spans="2:16" s="8" customFormat="1" ht="12.75" hidden="1" customHeight="1">
      <c r="B1634" s="37"/>
      <c r="C1634" s="37"/>
      <c r="D1634" s="38"/>
      <c r="E1634" s="38"/>
      <c r="F1634" s="39"/>
      <c r="K1634" s="5"/>
      <c r="L1634" s="5"/>
      <c r="M1634" s="5"/>
      <c r="N1634" s="5"/>
      <c r="O1634" s="5"/>
      <c r="P1634" s="5"/>
    </row>
    <row r="1635" spans="2:16" s="8" customFormat="1" ht="12.75" hidden="1" customHeight="1">
      <c r="B1635" s="37"/>
      <c r="C1635" s="37"/>
      <c r="D1635" s="38"/>
      <c r="E1635" s="38"/>
      <c r="F1635" s="39"/>
      <c r="K1635" s="5"/>
      <c r="L1635" s="5"/>
      <c r="M1635" s="5"/>
      <c r="N1635" s="5"/>
      <c r="O1635" s="5"/>
      <c r="P1635" s="5"/>
    </row>
    <row r="1636" spans="2:16" s="8" customFormat="1" ht="12.75" hidden="1" customHeight="1">
      <c r="B1636" s="37"/>
      <c r="C1636" s="37"/>
      <c r="D1636" s="38"/>
      <c r="E1636" s="38"/>
      <c r="F1636" s="39"/>
      <c r="K1636" s="5"/>
      <c r="L1636" s="5"/>
      <c r="M1636" s="5"/>
      <c r="N1636" s="5"/>
      <c r="O1636" s="5"/>
      <c r="P1636" s="5"/>
    </row>
    <row r="1637" spans="2:16" s="8" customFormat="1" ht="12.75" hidden="1" customHeight="1">
      <c r="B1637" s="37"/>
      <c r="C1637" s="37"/>
      <c r="D1637" s="38"/>
      <c r="E1637" s="38"/>
      <c r="F1637" s="39"/>
      <c r="K1637" s="5"/>
      <c r="L1637" s="5"/>
      <c r="M1637" s="5"/>
      <c r="N1637" s="5"/>
      <c r="O1637" s="5"/>
      <c r="P1637" s="5"/>
    </row>
    <row r="1638" spans="2:16" s="8" customFormat="1" ht="12.75" hidden="1" customHeight="1">
      <c r="B1638" s="37"/>
      <c r="C1638" s="37"/>
      <c r="D1638" s="38"/>
      <c r="E1638" s="38"/>
      <c r="F1638" s="39"/>
      <c r="K1638" s="5"/>
      <c r="L1638" s="5"/>
      <c r="M1638" s="5"/>
      <c r="N1638" s="5"/>
      <c r="O1638" s="5"/>
      <c r="P1638" s="5"/>
    </row>
    <row r="1639" spans="2:16" s="8" customFormat="1" ht="12.75" hidden="1" customHeight="1">
      <c r="B1639" s="37"/>
      <c r="C1639" s="37"/>
      <c r="D1639" s="38"/>
      <c r="E1639" s="38"/>
      <c r="F1639" s="39"/>
      <c r="K1639" s="5"/>
      <c r="L1639" s="5"/>
      <c r="M1639" s="5"/>
      <c r="N1639" s="5"/>
      <c r="O1639" s="5"/>
      <c r="P1639" s="5"/>
    </row>
    <row r="1640" spans="2:16" s="8" customFormat="1" ht="12.75" hidden="1" customHeight="1">
      <c r="B1640" s="37"/>
      <c r="C1640" s="37"/>
      <c r="D1640" s="38"/>
      <c r="E1640" s="38"/>
      <c r="F1640" s="39"/>
      <c r="K1640" s="5"/>
      <c r="L1640" s="5"/>
      <c r="M1640" s="5"/>
      <c r="N1640" s="5"/>
      <c r="O1640" s="5"/>
      <c r="P1640" s="5"/>
    </row>
    <row r="1641" spans="2:16" s="8" customFormat="1" ht="12.75" hidden="1" customHeight="1">
      <c r="B1641" s="37"/>
      <c r="C1641" s="37"/>
      <c r="D1641" s="38"/>
      <c r="E1641" s="38"/>
      <c r="F1641" s="39"/>
      <c r="K1641" s="5"/>
      <c r="L1641" s="5"/>
      <c r="M1641" s="5"/>
      <c r="N1641" s="5"/>
      <c r="O1641" s="5"/>
      <c r="P1641" s="5"/>
    </row>
    <row r="1642" spans="2:16" s="8" customFormat="1" ht="12.75" hidden="1" customHeight="1">
      <c r="B1642" s="37"/>
      <c r="C1642" s="37"/>
      <c r="D1642" s="38"/>
      <c r="E1642" s="38"/>
      <c r="F1642" s="39"/>
      <c r="K1642" s="5"/>
      <c r="L1642" s="5"/>
      <c r="M1642" s="5"/>
      <c r="N1642" s="5"/>
      <c r="O1642" s="5"/>
      <c r="P1642" s="5"/>
    </row>
    <row r="1643" spans="2:16" s="8" customFormat="1" ht="12.75" hidden="1" customHeight="1">
      <c r="B1643" s="37"/>
      <c r="C1643" s="37"/>
      <c r="D1643" s="38"/>
      <c r="E1643" s="38"/>
      <c r="F1643" s="39"/>
      <c r="K1643" s="5"/>
      <c r="L1643" s="5"/>
      <c r="M1643" s="5"/>
      <c r="N1643" s="5"/>
      <c r="O1643" s="5"/>
      <c r="P1643" s="5"/>
    </row>
    <row r="1644" spans="2:16" s="8" customFormat="1" ht="12.75" hidden="1" customHeight="1">
      <c r="B1644" s="37"/>
      <c r="C1644" s="37"/>
      <c r="D1644" s="38"/>
      <c r="E1644" s="38"/>
      <c r="F1644" s="39"/>
      <c r="K1644" s="5"/>
      <c r="L1644" s="5"/>
      <c r="M1644" s="5"/>
      <c r="N1644" s="5"/>
      <c r="O1644" s="5"/>
      <c r="P1644" s="5"/>
    </row>
    <row r="1645" spans="2:16" s="8" customFormat="1" ht="12.75" hidden="1" customHeight="1">
      <c r="B1645" s="37"/>
      <c r="C1645" s="37"/>
      <c r="D1645" s="38"/>
      <c r="E1645" s="38"/>
      <c r="F1645" s="39"/>
      <c r="K1645" s="5"/>
      <c r="L1645" s="5"/>
      <c r="M1645" s="5"/>
      <c r="N1645" s="5"/>
      <c r="O1645" s="5"/>
      <c r="P1645" s="5"/>
    </row>
    <row r="1646" spans="2:16" s="8" customFormat="1" ht="12.75" hidden="1" customHeight="1">
      <c r="B1646" s="37"/>
      <c r="C1646" s="37"/>
      <c r="D1646" s="38"/>
      <c r="E1646" s="38"/>
      <c r="F1646" s="39"/>
      <c r="K1646" s="5"/>
      <c r="L1646" s="5"/>
      <c r="M1646" s="5"/>
      <c r="N1646" s="5"/>
      <c r="O1646" s="5"/>
      <c r="P1646" s="5"/>
    </row>
    <row r="1647" spans="2:16" s="8" customFormat="1" ht="12.75" hidden="1" customHeight="1">
      <c r="B1647" s="37"/>
      <c r="C1647" s="37"/>
      <c r="D1647" s="38"/>
      <c r="E1647" s="38"/>
      <c r="F1647" s="39"/>
      <c r="K1647" s="5"/>
      <c r="L1647" s="5"/>
      <c r="M1647" s="5"/>
      <c r="N1647" s="5"/>
      <c r="O1647" s="5"/>
      <c r="P1647" s="5"/>
    </row>
    <row r="1648" spans="2:16" s="8" customFormat="1" ht="12.75" hidden="1" customHeight="1">
      <c r="B1648" s="37"/>
      <c r="C1648" s="37"/>
      <c r="D1648" s="38"/>
      <c r="E1648" s="38"/>
      <c r="F1648" s="39"/>
      <c r="K1648" s="5"/>
      <c r="L1648" s="5"/>
      <c r="M1648" s="5"/>
      <c r="N1648" s="5"/>
      <c r="O1648" s="5"/>
      <c r="P1648" s="5"/>
    </row>
    <row r="1649" spans="2:16" s="8" customFormat="1" ht="12.75" hidden="1" customHeight="1">
      <c r="B1649" s="37"/>
      <c r="C1649" s="37"/>
      <c r="D1649" s="38"/>
      <c r="E1649" s="38"/>
      <c r="F1649" s="39"/>
      <c r="K1649" s="5"/>
      <c r="L1649" s="5"/>
      <c r="M1649" s="5"/>
      <c r="N1649" s="5"/>
      <c r="O1649" s="5"/>
      <c r="P1649" s="5"/>
    </row>
    <row r="1650" spans="2:16" s="8" customFormat="1" ht="12.75" hidden="1" customHeight="1">
      <c r="B1650" s="37"/>
      <c r="C1650" s="37"/>
      <c r="D1650" s="38"/>
      <c r="E1650" s="38"/>
      <c r="F1650" s="39"/>
      <c r="K1650" s="5"/>
      <c r="L1650" s="5"/>
      <c r="M1650" s="5"/>
      <c r="N1650" s="5"/>
      <c r="O1650" s="5"/>
      <c r="P1650" s="5"/>
    </row>
    <row r="1651" spans="2:16" s="8" customFormat="1" ht="12.75" hidden="1" customHeight="1">
      <c r="B1651" s="37"/>
      <c r="C1651" s="37"/>
      <c r="D1651" s="38"/>
      <c r="E1651" s="38"/>
      <c r="F1651" s="39"/>
      <c r="K1651" s="5"/>
      <c r="L1651" s="5"/>
      <c r="M1651" s="5"/>
      <c r="N1651" s="5"/>
      <c r="O1651" s="5"/>
      <c r="P1651" s="5"/>
    </row>
    <row r="1652" spans="2:16" s="8" customFormat="1" ht="12.75" hidden="1" customHeight="1">
      <c r="B1652" s="37"/>
      <c r="C1652" s="37"/>
      <c r="D1652" s="38"/>
      <c r="E1652" s="38"/>
      <c r="F1652" s="39"/>
      <c r="K1652" s="5"/>
      <c r="L1652" s="5"/>
      <c r="M1652" s="5"/>
      <c r="N1652" s="5"/>
      <c r="O1652" s="5"/>
      <c r="P1652" s="5"/>
    </row>
    <row r="1653" spans="2:16" s="8" customFormat="1" ht="12.75" hidden="1" customHeight="1">
      <c r="B1653" s="37"/>
      <c r="C1653" s="37"/>
      <c r="D1653" s="38"/>
      <c r="E1653" s="38"/>
      <c r="F1653" s="39"/>
      <c r="K1653" s="5"/>
      <c r="L1653" s="5"/>
      <c r="M1653" s="5"/>
      <c r="N1653" s="5"/>
      <c r="O1653" s="5"/>
      <c r="P1653" s="5"/>
    </row>
    <row r="1654" spans="2:16" s="8" customFormat="1" ht="12.75" hidden="1" customHeight="1">
      <c r="B1654" s="37"/>
      <c r="C1654" s="37"/>
      <c r="D1654" s="38"/>
      <c r="E1654" s="38"/>
      <c r="F1654" s="39"/>
      <c r="K1654" s="5"/>
      <c r="L1654" s="5"/>
      <c r="M1654" s="5"/>
      <c r="N1654" s="5"/>
      <c r="O1654" s="5"/>
      <c r="P1654" s="5"/>
    </row>
    <row r="1655" spans="2:16" s="8" customFormat="1" ht="12.75" hidden="1" customHeight="1">
      <c r="B1655" s="37"/>
      <c r="C1655" s="37"/>
      <c r="D1655" s="38"/>
      <c r="E1655" s="38"/>
      <c r="F1655" s="39"/>
      <c r="K1655" s="5"/>
      <c r="L1655" s="5"/>
      <c r="M1655" s="5"/>
      <c r="N1655" s="5"/>
      <c r="O1655" s="5"/>
      <c r="P1655" s="5"/>
    </row>
    <row r="1656" spans="2:16" s="8" customFormat="1" ht="12.75" hidden="1" customHeight="1">
      <c r="B1656" s="37"/>
      <c r="C1656" s="37"/>
      <c r="D1656" s="38"/>
      <c r="E1656" s="38"/>
      <c r="F1656" s="39"/>
      <c r="K1656" s="5"/>
      <c r="L1656" s="5"/>
      <c r="M1656" s="5"/>
      <c r="N1656" s="5"/>
      <c r="O1656" s="5"/>
      <c r="P1656" s="5"/>
    </row>
    <row r="1657" spans="2:16" s="8" customFormat="1" ht="12.75" hidden="1" customHeight="1">
      <c r="B1657" s="37"/>
      <c r="C1657" s="37"/>
      <c r="D1657" s="38"/>
      <c r="E1657" s="38"/>
      <c r="F1657" s="39"/>
      <c r="K1657" s="5"/>
      <c r="L1657" s="5"/>
      <c r="M1657" s="5"/>
      <c r="N1657" s="5"/>
      <c r="O1657" s="5"/>
      <c r="P1657" s="5"/>
    </row>
    <row r="1658" spans="2:16" s="8" customFormat="1" ht="12.75" hidden="1" customHeight="1">
      <c r="B1658" s="37"/>
      <c r="C1658" s="37"/>
      <c r="D1658" s="38"/>
      <c r="E1658" s="38"/>
      <c r="F1658" s="39"/>
      <c r="K1658" s="5"/>
      <c r="L1658" s="5"/>
      <c r="M1658" s="5"/>
      <c r="N1658" s="5"/>
      <c r="O1658" s="5"/>
      <c r="P1658" s="5"/>
    </row>
    <row r="1659" spans="2:16" s="8" customFormat="1" ht="12.75" hidden="1" customHeight="1">
      <c r="B1659" s="37"/>
      <c r="C1659" s="37"/>
      <c r="D1659" s="38"/>
      <c r="E1659" s="38"/>
      <c r="F1659" s="39"/>
      <c r="K1659" s="5"/>
      <c r="L1659" s="5"/>
      <c r="M1659" s="5"/>
      <c r="N1659" s="5"/>
      <c r="O1659" s="5"/>
      <c r="P1659" s="5"/>
    </row>
    <row r="1660" spans="2:16" s="8" customFormat="1" ht="12.75" hidden="1" customHeight="1">
      <c r="B1660" s="37"/>
      <c r="C1660" s="37"/>
      <c r="D1660" s="38"/>
      <c r="E1660" s="38"/>
      <c r="F1660" s="39"/>
      <c r="K1660" s="5"/>
      <c r="L1660" s="5"/>
      <c r="M1660" s="5"/>
      <c r="N1660" s="5"/>
      <c r="O1660" s="5"/>
      <c r="P1660" s="5"/>
    </row>
    <row r="1661" spans="2:16" s="8" customFormat="1" ht="12.75" hidden="1" customHeight="1">
      <c r="B1661" s="37"/>
      <c r="C1661" s="37"/>
      <c r="D1661" s="38"/>
      <c r="E1661" s="38"/>
      <c r="F1661" s="39"/>
      <c r="K1661" s="5"/>
      <c r="L1661" s="5"/>
      <c r="M1661" s="5"/>
      <c r="N1661" s="5"/>
      <c r="O1661" s="5"/>
      <c r="P1661" s="5"/>
    </row>
    <row r="1662" spans="2:16" s="8" customFormat="1" ht="12.75" hidden="1" customHeight="1">
      <c r="B1662" s="37"/>
      <c r="C1662" s="37"/>
      <c r="D1662" s="38"/>
      <c r="E1662" s="38"/>
      <c r="F1662" s="39"/>
      <c r="K1662" s="5"/>
      <c r="L1662" s="5"/>
      <c r="M1662" s="5"/>
      <c r="N1662" s="5"/>
      <c r="O1662" s="5"/>
      <c r="P1662" s="5"/>
    </row>
    <row r="1663" spans="2:16" s="8" customFormat="1" ht="12.75" hidden="1" customHeight="1">
      <c r="B1663" s="37"/>
      <c r="C1663" s="37"/>
      <c r="D1663" s="38"/>
      <c r="E1663" s="38"/>
      <c r="F1663" s="39"/>
      <c r="K1663" s="5"/>
      <c r="L1663" s="5"/>
      <c r="M1663" s="5"/>
      <c r="N1663" s="5"/>
      <c r="O1663" s="5"/>
      <c r="P1663" s="5"/>
    </row>
    <row r="1664" spans="2:16" s="8" customFormat="1" ht="12.75" hidden="1" customHeight="1">
      <c r="B1664" s="37"/>
      <c r="C1664" s="37"/>
      <c r="D1664" s="38"/>
      <c r="E1664" s="38"/>
      <c r="F1664" s="39"/>
      <c r="K1664" s="5"/>
      <c r="L1664" s="5"/>
      <c r="M1664" s="5"/>
      <c r="N1664" s="5"/>
      <c r="O1664" s="5"/>
      <c r="P1664" s="5"/>
    </row>
    <row r="1665" spans="2:16" s="8" customFormat="1" ht="12.75" hidden="1" customHeight="1">
      <c r="B1665" s="37"/>
      <c r="C1665" s="37"/>
      <c r="D1665" s="38"/>
      <c r="E1665" s="38"/>
      <c r="F1665" s="39"/>
      <c r="K1665" s="5"/>
      <c r="L1665" s="5"/>
      <c r="M1665" s="5"/>
      <c r="N1665" s="5"/>
      <c r="O1665" s="5"/>
      <c r="P1665" s="5"/>
    </row>
    <row r="1666" spans="2:16" s="8" customFormat="1" ht="12.75" hidden="1" customHeight="1">
      <c r="B1666" s="37"/>
      <c r="C1666" s="37"/>
      <c r="D1666" s="38"/>
      <c r="E1666" s="38"/>
      <c r="F1666" s="39"/>
      <c r="K1666" s="5"/>
      <c r="L1666" s="5"/>
      <c r="M1666" s="5"/>
      <c r="N1666" s="5"/>
      <c r="O1666" s="5"/>
      <c r="P1666" s="5"/>
    </row>
    <row r="1667" spans="2:16" s="8" customFormat="1" ht="12.75" hidden="1" customHeight="1">
      <c r="B1667" s="37"/>
      <c r="C1667" s="37"/>
      <c r="D1667" s="38"/>
      <c r="E1667" s="38"/>
      <c r="F1667" s="39"/>
      <c r="K1667" s="5"/>
      <c r="L1667" s="5"/>
      <c r="M1667" s="5"/>
      <c r="N1667" s="5"/>
      <c r="O1667" s="5"/>
      <c r="P1667" s="5"/>
    </row>
    <row r="1668" spans="2:16" s="8" customFormat="1" ht="12.75" hidden="1" customHeight="1">
      <c r="B1668" s="37"/>
      <c r="C1668" s="37"/>
      <c r="D1668" s="38"/>
      <c r="E1668" s="38"/>
      <c r="F1668" s="39"/>
      <c r="K1668" s="5"/>
      <c r="L1668" s="5"/>
      <c r="M1668" s="5"/>
      <c r="N1668" s="5"/>
      <c r="O1668" s="5"/>
      <c r="P1668" s="5"/>
    </row>
    <row r="1669" spans="2:16" s="8" customFormat="1" ht="12.75" hidden="1" customHeight="1">
      <c r="B1669" s="37"/>
      <c r="C1669" s="37"/>
      <c r="D1669" s="38"/>
      <c r="E1669" s="38"/>
      <c r="F1669" s="39"/>
      <c r="K1669" s="5"/>
      <c r="L1669" s="5"/>
      <c r="M1669" s="5"/>
      <c r="N1669" s="5"/>
      <c r="O1669" s="5"/>
      <c r="P1669" s="5"/>
    </row>
    <row r="1670" spans="2:16" s="8" customFormat="1" ht="12.75" hidden="1" customHeight="1">
      <c r="B1670" s="37"/>
      <c r="C1670" s="37"/>
      <c r="D1670" s="38"/>
      <c r="E1670" s="38"/>
      <c r="F1670" s="39"/>
      <c r="K1670" s="5"/>
      <c r="L1670" s="5"/>
      <c r="M1670" s="5"/>
      <c r="N1670" s="5"/>
      <c r="O1670" s="5"/>
      <c r="P1670" s="5"/>
    </row>
    <row r="1671" spans="2:16" s="8" customFormat="1" ht="12.75" hidden="1" customHeight="1">
      <c r="B1671" s="37"/>
      <c r="C1671" s="37"/>
      <c r="D1671" s="38"/>
      <c r="E1671" s="38"/>
      <c r="F1671" s="39"/>
      <c r="K1671" s="5"/>
      <c r="L1671" s="5"/>
      <c r="M1671" s="5"/>
      <c r="N1671" s="5"/>
      <c r="O1671" s="5"/>
      <c r="P1671" s="5"/>
    </row>
    <row r="1672" spans="2:16" s="8" customFormat="1" ht="12.75" hidden="1" customHeight="1">
      <c r="B1672" s="37"/>
      <c r="C1672" s="37"/>
      <c r="D1672" s="38"/>
      <c r="E1672" s="38"/>
      <c r="F1672" s="39"/>
      <c r="K1672" s="5"/>
      <c r="L1672" s="5"/>
      <c r="M1672" s="5"/>
      <c r="N1672" s="5"/>
      <c r="O1672" s="5"/>
      <c r="P1672" s="5"/>
    </row>
    <row r="1673" spans="2:16" s="8" customFormat="1" ht="12.75" hidden="1" customHeight="1">
      <c r="B1673" s="37"/>
      <c r="C1673" s="37"/>
      <c r="D1673" s="38"/>
      <c r="E1673" s="38"/>
      <c r="F1673" s="39"/>
      <c r="K1673" s="5"/>
      <c r="L1673" s="5"/>
      <c r="M1673" s="5"/>
      <c r="N1673" s="5"/>
      <c r="O1673" s="5"/>
      <c r="P1673" s="5"/>
    </row>
    <row r="1674" spans="2:16" s="8" customFormat="1" ht="12.75" hidden="1" customHeight="1">
      <c r="B1674" s="37"/>
      <c r="C1674" s="37"/>
      <c r="D1674" s="38"/>
      <c r="E1674" s="38"/>
      <c r="F1674" s="39"/>
      <c r="K1674" s="5"/>
      <c r="L1674" s="5"/>
      <c r="M1674" s="5"/>
      <c r="N1674" s="5"/>
      <c r="O1674" s="5"/>
      <c r="P1674" s="5"/>
    </row>
    <row r="1675" spans="2:16" s="8" customFormat="1" ht="12.75" hidden="1" customHeight="1">
      <c r="B1675" s="37"/>
      <c r="C1675" s="37"/>
      <c r="D1675" s="38"/>
      <c r="E1675" s="38"/>
      <c r="F1675" s="39"/>
      <c r="K1675" s="5"/>
      <c r="L1675" s="5"/>
      <c r="M1675" s="5"/>
      <c r="N1675" s="5"/>
      <c r="O1675" s="5"/>
      <c r="P1675" s="5"/>
    </row>
    <row r="1676" spans="2:16" s="8" customFormat="1" ht="12.75" hidden="1" customHeight="1">
      <c r="B1676" s="37"/>
      <c r="C1676" s="37"/>
      <c r="D1676" s="38"/>
      <c r="E1676" s="38"/>
      <c r="F1676" s="39"/>
      <c r="K1676" s="5"/>
      <c r="L1676" s="5"/>
      <c r="M1676" s="5"/>
      <c r="N1676" s="5"/>
      <c r="O1676" s="5"/>
      <c r="P1676" s="5"/>
    </row>
    <row r="1677" spans="2:16" s="8" customFormat="1" ht="12.75" hidden="1" customHeight="1">
      <c r="B1677" s="37"/>
      <c r="C1677" s="37"/>
      <c r="D1677" s="38"/>
      <c r="E1677" s="38"/>
      <c r="F1677" s="39"/>
      <c r="K1677" s="5"/>
      <c r="L1677" s="5"/>
      <c r="M1677" s="5"/>
      <c r="N1677" s="5"/>
      <c r="O1677" s="5"/>
      <c r="P1677" s="5"/>
    </row>
    <row r="1678" spans="2:16" s="8" customFormat="1" ht="12.75" hidden="1" customHeight="1">
      <c r="B1678" s="37"/>
      <c r="C1678" s="37"/>
      <c r="D1678" s="38"/>
      <c r="E1678" s="38"/>
      <c r="F1678" s="39"/>
      <c r="K1678" s="5"/>
      <c r="L1678" s="5"/>
      <c r="M1678" s="5"/>
      <c r="N1678" s="5"/>
      <c r="O1678" s="5"/>
      <c r="P1678" s="5"/>
    </row>
    <row r="1679" spans="2:16" s="8" customFormat="1" ht="12.75" hidden="1" customHeight="1">
      <c r="B1679" s="37"/>
      <c r="C1679" s="37"/>
      <c r="D1679" s="38"/>
      <c r="E1679" s="38"/>
      <c r="F1679" s="39"/>
      <c r="K1679" s="5"/>
      <c r="L1679" s="5"/>
      <c r="M1679" s="5"/>
      <c r="N1679" s="5"/>
      <c r="O1679" s="5"/>
      <c r="P1679" s="5"/>
    </row>
    <row r="1680" spans="2:16" s="8" customFormat="1" ht="12.75" hidden="1" customHeight="1">
      <c r="B1680" s="37"/>
      <c r="C1680" s="37"/>
      <c r="D1680" s="38"/>
      <c r="E1680" s="38"/>
      <c r="F1680" s="39"/>
      <c r="K1680" s="5"/>
      <c r="L1680" s="5"/>
      <c r="M1680" s="5"/>
      <c r="N1680" s="5"/>
      <c r="O1680" s="5"/>
      <c r="P1680" s="5"/>
    </row>
    <row r="1681" spans="2:16" s="8" customFormat="1" ht="12.75" hidden="1" customHeight="1">
      <c r="B1681" s="37"/>
      <c r="C1681" s="37"/>
      <c r="D1681" s="38"/>
      <c r="E1681" s="38"/>
      <c r="F1681" s="39"/>
      <c r="K1681" s="5"/>
      <c r="L1681" s="5"/>
      <c r="M1681" s="5"/>
      <c r="N1681" s="5"/>
      <c r="O1681" s="5"/>
      <c r="P1681" s="5"/>
    </row>
    <row r="1682" spans="2:16" s="8" customFormat="1" ht="12.75" hidden="1" customHeight="1">
      <c r="B1682" s="37"/>
      <c r="C1682" s="37"/>
      <c r="D1682" s="38"/>
      <c r="E1682" s="38"/>
      <c r="F1682" s="39"/>
      <c r="K1682" s="5"/>
      <c r="L1682" s="5"/>
      <c r="M1682" s="5"/>
      <c r="N1682" s="5"/>
      <c r="O1682" s="5"/>
      <c r="P1682" s="5"/>
    </row>
    <row r="1683" spans="2:16" s="8" customFormat="1" ht="12.75" hidden="1" customHeight="1">
      <c r="B1683" s="37"/>
      <c r="C1683" s="37"/>
      <c r="D1683" s="38"/>
      <c r="E1683" s="38"/>
      <c r="F1683" s="39"/>
      <c r="K1683" s="5"/>
      <c r="L1683" s="5"/>
      <c r="M1683" s="5"/>
      <c r="N1683" s="5"/>
      <c r="O1683" s="5"/>
      <c r="P1683" s="5"/>
    </row>
    <row r="1684" spans="2:16" s="8" customFormat="1" ht="12.75" hidden="1" customHeight="1">
      <c r="B1684" s="37"/>
      <c r="C1684" s="37"/>
      <c r="D1684" s="38"/>
      <c r="E1684" s="38"/>
      <c r="F1684" s="39"/>
      <c r="K1684" s="5"/>
      <c r="L1684" s="5"/>
      <c r="M1684" s="5"/>
      <c r="N1684" s="5"/>
      <c r="O1684" s="5"/>
      <c r="P1684" s="5"/>
    </row>
    <row r="1685" spans="2:16" s="8" customFormat="1" ht="12.75" hidden="1" customHeight="1">
      <c r="B1685" s="37"/>
      <c r="C1685" s="37"/>
      <c r="D1685" s="38"/>
      <c r="E1685" s="38"/>
      <c r="F1685" s="39"/>
      <c r="K1685" s="5"/>
      <c r="L1685" s="5"/>
      <c r="M1685" s="5"/>
      <c r="N1685" s="5"/>
      <c r="O1685" s="5"/>
      <c r="P1685" s="5"/>
    </row>
    <row r="1686" spans="2:16" s="8" customFormat="1" ht="12.75" hidden="1" customHeight="1">
      <c r="B1686" s="37"/>
      <c r="C1686" s="37"/>
      <c r="D1686" s="38"/>
      <c r="E1686" s="38"/>
      <c r="F1686" s="39"/>
      <c r="K1686" s="5"/>
      <c r="L1686" s="5"/>
      <c r="M1686" s="5"/>
      <c r="N1686" s="5"/>
      <c r="O1686" s="5"/>
      <c r="P1686" s="5"/>
    </row>
    <row r="1687" spans="2:16" s="8" customFormat="1" ht="12.75" hidden="1" customHeight="1">
      <c r="B1687" s="37"/>
      <c r="C1687" s="37"/>
      <c r="D1687" s="38"/>
      <c r="E1687" s="38"/>
      <c r="F1687" s="39"/>
      <c r="K1687" s="5"/>
      <c r="L1687" s="5"/>
      <c r="M1687" s="5"/>
      <c r="N1687" s="5"/>
      <c r="O1687" s="5"/>
      <c r="P1687" s="5"/>
    </row>
    <row r="1688" spans="2:16" s="8" customFormat="1" ht="12.75" hidden="1" customHeight="1">
      <c r="B1688" s="37"/>
      <c r="C1688" s="37"/>
      <c r="D1688" s="38"/>
      <c r="E1688" s="38"/>
      <c r="F1688" s="39"/>
      <c r="K1688" s="5"/>
      <c r="L1688" s="5"/>
      <c r="M1688" s="5"/>
      <c r="N1688" s="5"/>
      <c r="O1688" s="5"/>
      <c r="P1688" s="5"/>
    </row>
    <row r="1689" spans="2:16" s="8" customFormat="1" ht="12.75" hidden="1" customHeight="1">
      <c r="B1689" s="37"/>
      <c r="C1689" s="37"/>
      <c r="D1689" s="38"/>
      <c r="E1689" s="38"/>
      <c r="F1689" s="39"/>
      <c r="K1689" s="5"/>
      <c r="L1689" s="5"/>
      <c r="M1689" s="5"/>
      <c r="N1689" s="5"/>
      <c r="O1689" s="5"/>
      <c r="P1689" s="5"/>
    </row>
    <row r="1690" spans="2:16" s="8" customFormat="1" ht="12.75" hidden="1" customHeight="1">
      <c r="B1690" s="37"/>
      <c r="C1690" s="37"/>
      <c r="D1690" s="38"/>
      <c r="E1690" s="38"/>
      <c r="F1690" s="39"/>
      <c r="K1690" s="5"/>
      <c r="L1690" s="5"/>
      <c r="M1690" s="5"/>
      <c r="N1690" s="5"/>
      <c r="O1690" s="5"/>
      <c r="P1690" s="5"/>
    </row>
    <row r="1691" spans="2:16" s="8" customFormat="1" ht="12.75" hidden="1" customHeight="1">
      <c r="B1691" s="37"/>
      <c r="C1691" s="37"/>
      <c r="D1691" s="38"/>
      <c r="E1691" s="38"/>
      <c r="F1691" s="39"/>
      <c r="K1691" s="5"/>
      <c r="L1691" s="5"/>
      <c r="M1691" s="5"/>
      <c r="N1691" s="5"/>
      <c r="O1691" s="5"/>
      <c r="P1691" s="5"/>
    </row>
    <row r="1692" spans="2:16" s="8" customFormat="1" ht="12.75" hidden="1" customHeight="1">
      <c r="B1692" s="37"/>
      <c r="C1692" s="37"/>
      <c r="D1692" s="38"/>
      <c r="E1692" s="38"/>
      <c r="F1692" s="39"/>
      <c r="K1692" s="5"/>
      <c r="L1692" s="5"/>
      <c r="M1692" s="5"/>
      <c r="N1692" s="5"/>
      <c r="O1692" s="5"/>
      <c r="P1692" s="5"/>
    </row>
    <row r="1693" spans="2:16" s="8" customFormat="1" ht="12.75" hidden="1" customHeight="1">
      <c r="B1693" s="37"/>
      <c r="C1693" s="37"/>
      <c r="D1693" s="38"/>
      <c r="E1693" s="38"/>
      <c r="F1693" s="39"/>
      <c r="K1693" s="5"/>
      <c r="L1693" s="5"/>
      <c r="M1693" s="5"/>
      <c r="N1693" s="5"/>
      <c r="O1693" s="5"/>
      <c r="P1693" s="5"/>
    </row>
    <row r="1694" spans="2:16" s="8" customFormat="1" ht="12.75" hidden="1" customHeight="1">
      <c r="B1694" s="37"/>
      <c r="C1694" s="37"/>
      <c r="D1694" s="38"/>
      <c r="E1694" s="38"/>
      <c r="F1694" s="39"/>
      <c r="K1694" s="5"/>
      <c r="L1694" s="5"/>
      <c r="M1694" s="5"/>
      <c r="N1694" s="5"/>
      <c r="O1694" s="5"/>
      <c r="P1694" s="5"/>
    </row>
    <row r="1695" spans="2:16" s="8" customFormat="1" ht="12.75" hidden="1" customHeight="1">
      <c r="B1695" s="37"/>
      <c r="C1695" s="37"/>
      <c r="D1695" s="38"/>
      <c r="E1695" s="38"/>
      <c r="F1695" s="39"/>
      <c r="K1695" s="5"/>
      <c r="L1695" s="5"/>
      <c r="M1695" s="5"/>
      <c r="N1695" s="5"/>
      <c r="O1695" s="5"/>
      <c r="P1695" s="5"/>
    </row>
    <row r="1696" spans="2:16" s="8" customFormat="1" ht="12.75" hidden="1" customHeight="1">
      <c r="B1696" s="37"/>
      <c r="C1696" s="37"/>
      <c r="D1696" s="38"/>
      <c r="E1696" s="38"/>
      <c r="F1696" s="39"/>
      <c r="K1696" s="5"/>
      <c r="L1696" s="5"/>
      <c r="M1696" s="5"/>
      <c r="N1696" s="5"/>
      <c r="O1696" s="5"/>
      <c r="P1696" s="5"/>
    </row>
    <row r="1697" spans="2:16" s="8" customFormat="1" ht="12.75" hidden="1" customHeight="1">
      <c r="B1697" s="37"/>
      <c r="C1697" s="37"/>
      <c r="D1697" s="38"/>
      <c r="E1697" s="38"/>
      <c r="F1697" s="39"/>
      <c r="K1697" s="5"/>
      <c r="L1697" s="5"/>
      <c r="M1697" s="5"/>
      <c r="N1697" s="5"/>
      <c r="O1697" s="5"/>
      <c r="P1697" s="5"/>
    </row>
    <row r="1698" spans="2:16" s="8" customFormat="1" ht="12.75" hidden="1" customHeight="1">
      <c r="B1698" s="37"/>
      <c r="C1698" s="37"/>
      <c r="D1698" s="38"/>
      <c r="E1698" s="38"/>
      <c r="F1698" s="39"/>
      <c r="K1698" s="5"/>
      <c r="L1698" s="5"/>
      <c r="M1698" s="5"/>
      <c r="N1698" s="5"/>
      <c r="O1698" s="5"/>
      <c r="P1698" s="5"/>
    </row>
    <row r="1699" spans="2:16" s="8" customFormat="1" ht="12.75" hidden="1" customHeight="1">
      <c r="B1699" s="37"/>
      <c r="C1699" s="37"/>
      <c r="D1699" s="38"/>
      <c r="E1699" s="38"/>
      <c r="F1699" s="39"/>
      <c r="K1699" s="5"/>
      <c r="L1699" s="5"/>
      <c r="M1699" s="5"/>
      <c r="N1699" s="5"/>
      <c r="O1699" s="5"/>
      <c r="P1699" s="5"/>
    </row>
    <row r="1700" spans="2:16" s="8" customFormat="1" ht="12.75" hidden="1" customHeight="1">
      <c r="B1700" s="37"/>
      <c r="C1700" s="37"/>
      <c r="D1700" s="38"/>
      <c r="E1700" s="38"/>
      <c r="F1700" s="39"/>
      <c r="K1700" s="5"/>
      <c r="L1700" s="5"/>
      <c r="M1700" s="5"/>
      <c r="N1700" s="5"/>
      <c r="O1700" s="5"/>
      <c r="P1700" s="5"/>
    </row>
    <row r="1701" spans="2:16" s="8" customFormat="1" ht="12.75" hidden="1" customHeight="1">
      <c r="B1701" s="37"/>
      <c r="C1701" s="37"/>
      <c r="D1701" s="38"/>
      <c r="E1701" s="38"/>
      <c r="F1701" s="39"/>
      <c r="K1701" s="5"/>
      <c r="L1701" s="5"/>
      <c r="M1701" s="5"/>
      <c r="N1701" s="5"/>
      <c r="O1701" s="5"/>
      <c r="P1701" s="5"/>
    </row>
    <row r="1702" spans="2:16" s="8" customFormat="1" ht="12.75" hidden="1" customHeight="1">
      <c r="B1702" s="37"/>
      <c r="C1702" s="37"/>
      <c r="D1702" s="38"/>
      <c r="E1702" s="38"/>
      <c r="F1702" s="39"/>
      <c r="K1702" s="5"/>
      <c r="L1702" s="5"/>
      <c r="M1702" s="5"/>
      <c r="N1702" s="5"/>
      <c r="O1702" s="5"/>
      <c r="P1702" s="5"/>
    </row>
    <row r="1703" spans="2:16" s="8" customFormat="1" ht="12.75" hidden="1" customHeight="1">
      <c r="B1703" s="37"/>
      <c r="C1703" s="37"/>
      <c r="D1703" s="38"/>
      <c r="E1703" s="38"/>
      <c r="F1703" s="39"/>
      <c r="K1703" s="5"/>
      <c r="L1703" s="5"/>
      <c r="M1703" s="5"/>
      <c r="N1703" s="5"/>
      <c r="O1703" s="5"/>
      <c r="P1703" s="5"/>
    </row>
    <row r="1704" spans="2:16" s="8" customFormat="1" ht="12.75" hidden="1" customHeight="1">
      <c r="B1704" s="37"/>
      <c r="C1704" s="37"/>
      <c r="D1704" s="38"/>
      <c r="E1704" s="38"/>
      <c r="F1704" s="39"/>
      <c r="K1704" s="5"/>
      <c r="L1704" s="5"/>
      <c r="M1704" s="5"/>
      <c r="N1704" s="5"/>
      <c r="O1704" s="5"/>
      <c r="P1704" s="5"/>
    </row>
    <row r="1705" spans="2:16" s="8" customFormat="1" ht="12.75" hidden="1" customHeight="1">
      <c r="B1705" s="37"/>
      <c r="C1705" s="37"/>
      <c r="D1705" s="38"/>
      <c r="E1705" s="38"/>
      <c r="F1705" s="39"/>
      <c r="K1705" s="5"/>
      <c r="L1705" s="5"/>
      <c r="M1705" s="5"/>
      <c r="N1705" s="5"/>
      <c r="O1705" s="5"/>
      <c r="P1705" s="5"/>
    </row>
    <row r="1706" spans="2:16" s="8" customFormat="1" ht="12.75" hidden="1" customHeight="1">
      <c r="B1706" s="37"/>
      <c r="C1706" s="37"/>
      <c r="D1706" s="38"/>
      <c r="E1706" s="38"/>
      <c r="F1706" s="39"/>
      <c r="K1706" s="5"/>
      <c r="L1706" s="5"/>
      <c r="M1706" s="5"/>
      <c r="N1706" s="5"/>
      <c r="O1706" s="5"/>
      <c r="P1706" s="5"/>
    </row>
    <row r="1707" spans="2:16" s="8" customFormat="1" ht="12.75" hidden="1" customHeight="1">
      <c r="B1707" s="37"/>
      <c r="C1707" s="37"/>
      <c r="D1707" s="38"/>
      <c r="E1707" s="38"/>
      <c r="F1707" s="39"/>
      <c r="K1707" s="5"/>
      <c r="L1707" s="5"/>
      <c r="M1707" s="5"/>
      <c r="N1707" s="5"/>
      <c r="O1707" s="5"/>
      <c r="P1707" s="5"/>
    </row>
    <row r="1708" spans="2:16" s="8" customFormat="1" ht="12.75" hidden="1" customHeight="1">
      <c r="B1708" s="37"/>
      <c r="C1708" s="37"/>
      <c r="D1708" s="38"/>
      <c r="E1708" s="38"/>
      <c r="F1708" s="39"/>
      <c r="K1708" s="5"/>
      <c r="L1708" s="5"/>
      <c r="M1708" s="5"/>
      <c r="N1708" s="5"/>
      <c r="O1708" s="5"/>
      <c r="P1708" s="5"/>
    </row>
    <row r="1709" spans="2:16" s="8" customFormat="1" ht="12.75" hidden="1" customHeight="1">
      <c r="B1709" s="37"/>
      <c r="C1709" s="37"/>
      <c r="D1709" s="38"/>
      <c r="E1709" s="38"/>
      <c r="F1709" s="39"/>
      <c r="K1709" s="5"/>
      <c r="L1709" s="5"/>
      <c r="M1709" s="5"/>
      <c r="N1709" s="5"/>
      <c r="O1709" s="5"/>
      <c r="P1709" s="5"/>
    </row>
    <row r="1710" spans="2:16" s="8" customFormat="1" ht="12.75" hidden="1" customHeight="1">
      <c r="B1710" s="37"/>
      <c r="C1710" s="37"/>
      <c r="D1710" s="38"/>
      <c r="E1710" s="38"/>
      <c r="F1710" s="39"/>
      <c r="K1710" s="5"/>
      <c r="L1710" s="5"/>
      <c r="M1710" s="5"/>
      <c r="N1710" s="5"/>
      <c r="O1710" s="5"/>
      <c r="P1710" s="5"/>
    </row>
    <row r="1711" spans="2:16" s="8" customFormat="1" ht="12.75" hidden="1" customHeight="1">
      <c r="B1711" s="37"/>
      <c r="C1711" s="37"/>
      <c r="D1711" s="38"/>
      <c r="E1711" s="38"/>
      <c r="F1711" s="39"/>
      <c r="K1711" s="5"/>
      <c r="L1711" s="5"/>
      <c r="M1711" s="5"/>
      <c r="N1711" s="5"/>
      <c r="O1711" s="5"/>
      <c r="P1711" s="5"/>
    </row>
    <row r="1712" spans="2:16" s="8" customFormat="1" ht="12.75" hidden="1" customHeight="1">
      <c r="B1712" s="37"/>
      <c r="C1712" s="37"/>
      <c r="D1712" s="38"/>
      <c r="E1712" s="38"/>
      <c r="F1712" s="39"/>
      <c r="K1712" s="5"/>
      <c r="L1712" s="5"/>
      <c r="M1712" s="5"/>
      <c r="N1712" s="5"/>
      <c r="O1712" s="5"/>
      <c r="P1712" s="5"/>
    </row>
    <row r="1713" spans="2:16" s="8" customFormat="1" ht="12.75" hidden="1" customHeight="1">
      <c r="B1713" s="37"/>
      <c r="C1713" s="37"/>
      <c r="D1713" s="38"/>
      <c r="E1713" s="38"/>
      <c r="F1713" s="39"/>
      <c r="K1713" s="5"/>
      <c r="L1713" s="5"/>
      <c r="M1713" s="5"/>
      <c r="N1713" s="5"/>
      <c r="O1713" s="5"/>
      <c r="P1713" s="5"/>
    </row>
    <row r="1714" spans="2:16" s="8" customFormat="1" ht="12.75" hidden="1" customHeight="1">
      <c r="B1714" s="37"/>
      <c r="C1714" s="37"/>
      <c r="D1714" s="38"/>
      <c r="E1714" s="38"/>
      <c r="F1714" s="39"/>
      <c r="K1714" s="5"/>
      <c r="L1714" s="5"/>
      <c r="M1714" s="5"/>
      <c r="N1714" s="5"/>
      <c r="O1714" s="5"/>
      <c r="P1714" s="5"/>
    </row>
    <row r="1715" spans="2:16" s="8" customFormat="1" ht="12.75" hidden="1" customHeight="1">
      <c r="B1715" s="37"/>
      <c r="C1715" s="37"/>
      <c r="D1715" s="38"/>
      <c r="E1715" s="38"/>
      <c r="F1715" s="39"/>
      <c r="K1715" s="5"/>
      <c r="L1715" s="5"/>
      <c r="M1715" s="5"/>
      <c r="N1715" s="5"/>
      <c r="O1715" s="5"/>
      <c r="P1715" s="5"/>
    </row>
    <row r="1716" spans="2:16" s="8" customFormat="1" ht="12.75" hidden="1" customHeight="1">
      <c r="B1716" s="37"/>
      <c r="C1716" s="37"/>
      <c r="D1716" s="38"/>
      <c r="E1716" s="38"/>
      <c r="F1716" s="39"/>
      <c r="K1716" s="5"/>
      <c r="L1716" s="5"/>
      <c r="M1716" s="5"/>
      <c r="N1716" s="5"/>
      <c r="O1716" s="5"/>
      <c r="P1716" s="5"/>
    </row>
    <row r="1717" spans="2:16" s="8" customFormat="1" ht="12.75" hidden="1" customHeight="1">
      <c r="B1717" s="37"/>
      <c r="C1717" s="37"/>
      <c r="D1717" s="38"/>
      <c r="E1717" s="38"/>
      <c r="F1717" s="39"/>
      <c r="K1717" s="5"/>
      <c r="L1717" s="5"/>
      <c r="M1717" s="5"/>
      <c r="N1717" s="5"/>
      <c r="O1717" s="5"/>
      <c r="P1717" s="5"/>
    </row>
    <row r="1718" spans="2:16" s="8" customFormat="1" ht="12.75" hidden="1" customHeight="1">
      <c r="B1718" s="37"/>
      <c r="C1718" s="37"/>
      <c r="D1718" s="38"/>
      <c r="E1718" s="38"/>
      <c r="F1718" s="39"/>
      <c r="K1718" s="5"/>
      <c r="L1718" s="5"/>
      <c r="M1718" s="5"/>
      <c r="N1718" s="5"/>
      <c r="O1718" s="5"/>
      <c r="P1718" s="5"/>
    </row>
    <row r="1719" spans="2:16" s="8" customFormat="1" ht="12.75" hidden="1" customHeight="1">
      <c r="B1719" s="37"/>
      <c r="C1719" s="37"/>
      <c r="D1719" s="38"/>
      <c r="E1719" s="38"/>
      <c r="F1719" s="39"/>
      <c r="K1719" s="5"/>
      <c r="L1719" s="5"/>
      <c r="M1719" s="5"/>
      <c r="N1719" s="5"/>
      <c r="O1719" s="5"/>
      <c r="P1719" s="5"/>
    </row>
    <row r="1720" spans="2:16" s="8" customFormat="1" ht="12.75" hidden="1" customHeight="1">
      <c r="B1720" s="37"/>
      <c r="C1720" s="37"/>
      <c r="D1720" s="38"/>
      <c r="E1720" s="38"/>
      <c r="F1720" s="39"/>
      <c r="K1720" s="5"/>
      <c r="L1720" s="5"/>
      <c r="M1720" s="5"/>
      <c r="N1720" s="5"/>
      <c r="O1720" s="5"/>
      <c r="P1720" s="5"/>
    </row>
    <row r="1721" spans="2:16" s="8" customFormat="1" ht="12.75" hidden="1" customHeight="1">
      <c r="B1721" s="37"/>
      <c r="C1721" s="37"/>
      <c r="D1721" s="38"/>
      <c r="E1721" s="38"/>
      <c r="F1721" s="39"/>
      <c r="K1721" s="5"/>
      <c r="L1721" s="5"/>
      <c r="M1721" s="5"/>
      <c r="N1721" s="5"/>
      <c r="O1721" s="5"/>
      <c r="P1721" s="5"/>
    </row>
    <row r="1722" spans="2:16" s="8" customFormat="1" ht="12.75" hidden="1" customHeight="1">
      <c r="B1722" s="37"/>
      <c r="C1722" s="37"/>
      <c r="D1722" s="38"/>
      <c r="E1722" s="38"/>
      <c r="F1722" s="39"/>
      <c r="K1722" s="5"/>
      <c r="L1722" s="5"/>
      <c r="M1722" s="5"/>
      <c r="N1722" s="5"/>
      <c r="O1722" s="5"/>
      <c r="P1722" s="5"/>
    </row>
    <row r="1723" spans="2:16" s="8" customFormat="1" ht="12.75" hidden="1" customHeight="1">
      <c r="B1723" s="37"/>
      <c r="C1723" s="37"/>
      <c r="D1723" s="38"/>
      <c r="E1723" s="38"/>
      <c r="F1723" s="39"/>
      <c r="K1723" s="5"/>
      <c r="L1723" s="5"/>
      <c r="M1723" s="5"/>
      <c r="N1723" s="5"/>
      <c r="O1723" s="5"/>
      <c r="P1723" s="5"/>
    </row>
    <row r="1724" spans="2:16" s="8" customFormat="1" ht="12.75" hidden="1" customHeight="1">
      <c r="B1724" s="37"/>
      <c r="C1724" s="37"/>
      <c r="D1724" s="38"/>
      <c r="E1724" s="38"/>
      <c r="F1724" s="39"/>
      <c r="K1724" s="5"/>
      <c r="L1724" s="5"/>
      <c r="M1724" s="5"/>
      <c r="N1724" s="5"/>
      <c r="O1724" s="5"/>
      <c r="P1724" s="5"/>
    </row>
    <row r="1725" spans="2:16" s="8" customFormat="1" ht="12.75" hidden="1" customHeight="1">
      <c r="B1725" s="37"/>
      <c r="C1725" s="37"/>
      <c r="D1725" s="38"/>
      <c r="E1725" s="38"/>
      <c r="F1725" s="39"/>
      <c r="K1725" s="5"/>
      <c r="L1725" s="5"/>
      <c r="M1725" s="5"/>
      <c r="N1725" s="5"/>
      <c r="O1725" s="5"/>
      <c r="P1725" s="5"/>
    </row>
    <row r="1726" spans="2:16" s="8" customFormat="1" ht="12.75" hidden="1" customHeight="1">
      <c r="B1726" s="37"/>
      <c r="C1726" s="37"/>
      <c r="D1726" s="38"/>
      <c r="E1726" s="38"/>
      <c r="F1726" s="39"/>
      <c r="K1726" s="5"/>
      <c r="L1726" s="5"/>
      <c r="M1726" s="5"/>
      <c r="N1726" s="5"/>
      <c r="O1726" s="5"/>
      <c r="P1726" s="5"/>
    </row>
    <row r="1727" spans="2:16" s="8" customFormat="1" ht="12.75" hidden="1" customHeight="1">
      <c r="B1727" s="37"/>
      <c r="C1727" s="37"/>
      <c r="D1727" s="38"/>
      <c r="E1727" s="38"/>
      <c r="F1727" s="39"/>
      <c r="K1727" s="5"/>
      <c r="L1727" s="5"/>
      <c r="M1727" s="5"/>
      <c r="N1727" s="5"/>
      <c r="O1727" s="5"/>
      <c r="P1727" s="5"/>
    </row>
    <row r="1728" spans="2:16" s="8" customFormat="1" ht="12.75" hidden="1" customHeight="1">
      <c r="B1728" s="37"/>
      <c r="C1728" s="37"/>
      <c r="D1728" s="38"/>
      <c r="E1728" s="38"/>
      <c r="F1728" s="39"/>
      <c r="K1728" s="5"/>
      <c r="L1728" s="5"/>
      <c r="M1728" s="5"/>
      <c r="N1728" s="5"/>
      <c r="O1728" s="5"/>
      <c r="P1728" s="5"/>
    </row>
    <row r="1729" spans="2:16" s="8" customFormat="1" ht="12.75" hidden="1" customHeight="1">
      <c r="B1729" s="37"/>
      <c r="C1729" s="37"/>
      <c r="D1729" s="38"/>
      <c r="E1729" s="38"/>
      <c r="F1729" s="39"/>
      <c r="K1729" s="5"/>
      <c r="L1729" s="5"/>
      <c r="M1729" s="5"/>
      <c r="N1729" s="5"/>
      <c r="O1729" s="5"/>
      <c r="P1729" s="5"/>
    </row>
    <row r="1730" spans="2:16" s="8" customFormat="1" ht="12.75" hidden="1" customHeight="1">
      <c r="B1730" s="37"/>
      <c r="C1730" s="37"/>
      <c r="D1730" s="38"/>
      <c r="E1730" s="38"/>
      <c r="F1730" s="39"/>
      <c r="K1730" s="5"/>
      <c r="L1730" s="5"/>
      <c r="M1730" s="5"/>
      <c r="N1730" s="5"/>
      <c r="O1730" s="5"/>
      <c r="P1730" s="5"/>
    </row>
    <row r="1731" spans="2:16" s="8" customFormat="1" ht="12.75" hidden="1" customHeight="1">
      <c r="B1731" s="37"/>
      <c r="C1731" s="37"/>
      <c r="D1731" s="38"/>
      <c r="E1731" s="38"/>
      <c r="F1731" s="39"/>
      <c r="K1731" s="5"/>
      <c r="L1731" s="5"/>
      <c r="M1731" s="5"/>
      <c r="N1731" s="5"/>
      <c r="O1731" s="5"/>
      <c r="P1731" s="5"/>
    </row>
    <row r="1732" spans="2:16" s="8" customFormat="1" ht="12.75" hidden="1" customHeight="1">
      <c r="B1732" s="37"/>
      <c r="C1732" s="37"/>
      <c r="D1732" s="38"/>
      <c r="E1732" s="38"/>
      <c r="F1732" s="39"/>
      <c r="K1732" s="5"/>
      <c r="L1732" s="5"/>
      <c r="M1732" s="5"/>
      <c r="N1732" s="5"/>
      <c r="O1732" s="5"/>
      <c r="P1732" s="5"/>
    </row>
    <row r="1733" spans="2:16" s="8" customFormat="1" ht="12.75" hidden="1" customHeight="1">
      <c r="B1733" s="37"/>
      <c r="C1733" s="37"/>
      <c r="D1733" s="38"/>
      <c r="E1733" s="38"/>
      <c r="F1733" s="39"/>
      <c r="K1733" s="5"/>
      <c r="L1733" s="5"/>
      <c r="M1733" s="5"/>
      <c r="N1733" s="5"/>
      <c r="O1733" s="5"/>
      <c r="P1733" s="5"/>
    </row>
    <row r="1734" spans="2:16" s="8" customFormat="1" ht="12.75" hidden="1" customHeight="1">
      <c r="B1734" s="37"/>
      <c r="C1734" s="37"/>
      <c r="D1734" s="38"/>
      <c r="E1734" s="38"/>
      <c r="F1734" s="39"/>
      <c r="K1734" s="5"/>
      <c r="L1734" s="5"/>
      <c r="M1734" s="5"/>
      <c r="N1734" s="5"/>
      <c r="O1734" s="5"/>
      <c r="P1734" s="5"/>
    </row>
    <row r="1735" spans="2:16" s="8" customFormat="1" ht="12.75" hidden="1" customHeight="1">
      <c r="B1735" s="37"/>
      <c r="C1735" s="37"/>
      <c r="D1735" s="38"/>
      <c r="E1735" s="38"/>
      <c r="F1735" s="39"/>
      <c r="K1735" s="5"/>
      <c r="L1735" s="5"/>
      <c r="M1735" s="5"/>
      <c r="N1735" s="5"/>
      <c r="O1735" s="5"/>
      <c r="P1735" s="5"/>
    </row>
    <row r="1736" spans="2:16" s="8" customFormat="1" ht="12.75" hidden="1" customHeight="1">
      <c r="B1736" s="37"/>
      <c r="C1736" s="37"/>
      <c r="D1736" s="38"/>
      <c r="E1736" s="38"/>
      <c r="F1736" s="39"/>
      <c r="K1736" s="5"/>
      <c r="L1736" s="5"/>
      <c r="M1736" s="5"/>
      <c r="N1736" s="5"/>
      <c r="O1736" s="5"/>
      <c r="P1736" s="5"/>
    </row>
    <row r="1737" spans="2:16" s="8" customFormat="1" ht="12.75" hidden="1" customHeight="1">
      <c r="B1737" s="37"/>
      <c r="C1737" s="37"/>
      <c r="D1737" s="38"/>
      <c r="E1737" s="38"/>
      <c r="F1737" s="39"/>
      <c r="K1737" s="5"/>
      <c r="L1737" s="5"/>
      <c r="M1737" s="5"/>
      <c r="N1737" s="5"/>
      <c r="O1737" s="5"/>
      <c r="P1737" s="5"/>
    </row>
    <row r="1738" spans="2:16" s="8" customFormat="1" ht="12.75" hidden="1" customHeight="1">
      <c r="B1738" s="37"/>
      <c r="C1738" s="37"/>
      <c r="D1738" s="38"/>
      <c r="E1738" s="38"/>
      <c r="F1738" s="39"/>
      <c r="K1738" s="5"/>
      <c r="L1738" s="5"/>
      <c r="M1738" s="5"/>
      <c r="N1738" s="5"/>
      <c r="O1738" s="5"/>
      <c r="P1738" s="5"/>
    </row>
    <row r="1739" spans="2:16" s="8" customFormat="1" ht="12.75" hidden="1" customHeight="1">
      <c r="B1739" s="37"/>
      <c r="C1739" s="37"/>
      <c r="D1739" s="38"/>
      <c r="E1739" s="38"/>
      <c r="F1739" s="39"/>
      <c r="K1739" s="5"/>
      <c r="L1739" s="5"/>
      <c r="M1739" s="5"/>
      <c r="N1739" s="5"/>
      <c r="O1739" s="5"/>
      <c r="P1739" s="5"/>
    </row>
    <row r="1740" spans="2:16" s="8" customFormat="1" ht="12.75" hidden="1" customHeight="1">
      <c r="B1740" s="37"/>
      <c r="C1740" s="37"/>
      <c r="D1740" s="38"/>
      <c r="E1740" s="38"/>
      <c r="F1740" s="39"/>
      <c r="K1740" s="5"/>
      <c r="L1740" s="5"/>
      <c r="M1740" s="5"/>
      <c r="N1740" s="5"/>
      <c r="O1740" s="5"/>
      <c r="P1740" s="5"/>
    </row>
    <row r="1741" spans="2:16" s="8" customFormat="1" ht="12.75" hidden="1" customHeight="1">
      <c r="B1741" s="37"/>
      <c r="C1741" s="37"/>
      <c r="D1741" s="38"/>
      <c r="E1741" s="38"/>
      <c r="F1741" s="39"/>
      <c r="K1741" s="5"/>
      <c r="L1741" s="5"/>
      <c r="M1741" s="5"/>
      <c r="N1741" s="5"/>
      <c r="O1741" s="5"/>
      <c r="P1741" s="5"/>
    </row>
    <row r="1742" spans="2:16" s="8" customFormat="1" ht="12.75" hidden="1" customHeight="1">
      <c r="B1742" s="37"/>
      <c r="C1742" s="37"/>
      <c r="D1742" s="38"/>
      <c r="E1742" s="38"/>
      <c r="F1742" s="39"/>
      <c r="K1742" s="5"/>
      <c r="L1742" s="5"/>
      <c r="M1742" s="5"/>
      <c r="N1742" s="5"/>
      <c r="O1742" s="5"/>
      <c r="P1742" s="5"/>
    </row>
    <row r="1743" spans="2:16" s="8" customFormat="1" ht="12.75" hidden="1" customHeight="1">
      <c r="B1743" s="37"/>
      <c r="C1743" s="37"/>
      <c r="D1743" s="38"/>
      <c r="E1743" s="38"/>
      <c r="F1743" s="39"/>
      <c r="K1743" s="5"/>
      <c r="L1743" s="5"/>
      <c r="M1743" s="5"/>
      <c r="N1743" s="5"/>
      <c r="O1743" s="5"/>
      <c r="P1743" s="5"/>
    </row>
    <row r="1744" spans="2:16" s="8" customFormat="1" ht="12.75" hidden="1" customHeight="1">
      <c r="B1744" s="37"/>
      <c r="C1744" s="37"/>
      <c r="D1744" s="38"/>
      <c r="E1744" s="38"/>
      <c r="F1744" s="39"/>
      <c r="K1744" s="5"/>
      <c r="L1744" s="5"/>
      <c r="M1744" s="5"/>
      <c r="N1744" s="5"/>
      <c r="O1744" s="5"/>
      <c r="P1744" s="5"/>
    </row>
    <row r="1745" spans="2:16" s="8" customFormat="1" ht="12.75" hidden="1" customHeight="1">
      <c r="B1745" s="37"/>
      <c r="C1745" s="37"/>
      <c r="D1745" s="38"/>
      <c r="E1745" s="38"/>
      <c r="F1745" s="39"/>
      <c r="K1745" s="5"/>
      <c r="L1745" s="5"/>
      <c r="M1745" s="5"/>
      <c r="N1745" s="5"/>
      <c r="O1745" s="5"/>
      <c r="P1745" s="5"/>
    </row>
    <row r="1746" spans="2:16" s="8" customFormat="1" ht="12.75" hidden="1" customHeight="1">
      <c r="B1746" s="37"/>
      <c r="C1746" s="37"/>
      <c r="D1746" s="38"/>
      <c r="E1746" s="38"/>
      <c r="F1746" s="39"/>
      <c r="K1746" s="5"/>
      <c r="L1746" s="5"/>
      <c r="M1746" s="5"/>
      <c r="N1746" s="5"/>
      <c r="O1746" s="5"/>
      <c r="P1746" s="5"/>
    </row>
    <row r="1747" spans="2:16" s="8" customFormat="1" ht="12.75" hidden="1" customHeight="1">
      <c r="B1747" s="37"/>
      <c r="C1747" s="37"/>
      <c r="D1747" s="38"/>
      <c r="E1747" s="38"/>
      <c r="F1747" s="39"/>
      <c r="K1747" s="5"/>
      <c r="L1747" s="5"/>
      <c r="M1747" s="5"/>
      <c r="N1747" s="5"/>
      <c r="O1747" s="5"/>
      <c r="P1747" s="5"/>
    </row>
    <row r="1748" spans="2:16" s="8" customFormat="1" ht="12.75" hidden="1" customHeight="1">
      <c r="B1748" s="37"/>
      <c r="C1748" s="37"/>
      <c r="D1748" s="38"/>
      <c r="E1748" s="38"/>
      <c r="F1748" s="39"/>
      <c r="K1748" s="5"/>
      <c r="L1748" s="5"/>
      <c r="M1748" s="5"/>
      <c r="N1748" s="5"/>
      <c r="O1748" s="5"/>
      <c r="P1748" s="5"/>
    </row>
    <row r="1749" spans="2:16" s="8" customFormat="1" ht="12.75" hidden="1" customHeight="1">
      <c r="B1749" s="37"/>
      <c r="C1749" s="37"/>
      <c r="D1749" s="38"/>
      <c r="E1749" s="38"/>
      <c r="F1749" s="39"/>
      <c r="K1749" s="5"/>
      <c r="L1749" s="5"/>
      <c r="M1749" s="5"/>
      <c r="N1749" s="5"/>
      <c r="O1749" s="5"/>
      <c r="P1749" s="5"/>
    </row>
    <row r="1750" spans="2:16" s="8" customFormat="1" ht="12.75" hidden="1" customHeight="1">
      <c r="B1750" s="37"/>
      <c r="C1750" s="37"/>
      <c r="D1750" s="38"/>
      <c r="E1750" s="38"/>
      <c r="F1750" s="39"/>
      <c r="K1750" s="5"/>
      <c r="L1750" s="5"/>
      <c r="M1750" s="5"/>
      <c r="N1750" s="5"/>
      <c r="O1750" s="5"/>
      <c r="P1750" s="5"/>
    </row>
    <row r="1751" spans="2:16" s="8" customFormat="1" ht="12.75" hidden="1" customHeight="1">
      <c r="B1751" s="37"/>
      <c r="C1751" s="37"/>
      <c r="D1751" s="38"/>
      <c r="E1751" s="38"/>
      <c r="F1751" s="39"/>
      <c r="K1751" s="5"/>
      <c r="L1751" s="5"/>
      <c r="M1751" s="5"/>
      <c r="N1751" s="5"/>
      <c r="O1751" s="5"/>
      <c r="P1751" s="5"/>
    </row>
    <row r="1752" spans="2:16" s="8" customFormat="1" ht="12.75" hidden="1" customHeight="1">
      <c r="B1752" s="37"/>
      <c r="C1752" s="37"/>
      <c r="D1752" s="38"/>
      <c r="E1752" s="38"/>
      <c r="F1752" s="39"/>
      <c r="K1752" s="5"/>
      <c r="L1752" s="5"/>
      <c r="M1752" s="5"/>
      <c r="N1752" s="5"/>
      <c r="O1752" s="5"/>
      <c r="P1752" s="5"/>
    </row>
    <row r="1753" spans="2:16" s="8" customFormat="1" ht="12.75" hidden="1" customHeight="1">
      <c r="B1753" s="37"/>
      <c r="C1753" s="37"/>
      <c r="D1753" s="38"/>
      <c r="E1753" s="38"/>
      <c r="F1753" s="39"/>
      <c r="K1753" s="5"/>
      <c r="L1753" s="5"/>
      <c r="M1753" s="5"/>
      <c r="N1753" s="5"/>
      <c r="O1753" s="5"/>
      <c r="P1753" s="5"/>
    </row>
    <row r="1754" spans="2:16" s="8" customFormat="1" ht="12.75" hidden="1" customHeight="1">
      <c r="B1754" s="37"/>
      <c r="C1754" s="37"/>
      <c r="D1754" s="38"/>
      <c r="E1754" s="38"/>
      <c r="F1754" s="39"/>
      <c r="K1754" s="5"/>
      <c r="L1754" s="5"/>
      <c r="M1754" s="5"/>
      <c r="N1754" s="5"/>
      <c r="O1754" s="5"/>
      <c r="P1754" s="5"/>
    </row>
    <row r="1755" spans="2:16" s="8" customFormat="1" ht="12.75" hidden="1" customHeight="1">
      <c r="B1755" s="37"/>
      <c r="C1755" s="37"/>
      <c r="D1755" s="38"/>
      <c r="E1755" s="38"/>
      <c r="F1755" s="39"/>
      <c r="K1755" s="5"/>
      <c r="L1755" s="5"/>
      <c r="M1755" s="5"/>
      <c r="N1755" s="5"/>
      <c r="O1755" s="5"/>
      <c r="P1755" s="5"/>
    </row>
    <row r="1756" spans="2:16" s="8" customFormat="1" ht="12.75" hidden="1" customHeight="1">
      <c r="B1756" s="37"/>
      <c r="C1756" s="37"/>
      <c r="D1756" s="38"/>
      <c r="E1756" s="38"/>
      <c r="F1756" s="39"/>
      <c r="K1756" s="5"/>
      <c r="L1756" s="5"/>
      <c r="M1756" s="5"/>
      <c r="N1756" s="5"/>
      <c r="O1756" s="5"/>
      <c r="P1756" s="5"/>
    </row>
    <row r="1757" spans="2:16" s="8" customFormat="1" ht="12.75" hidden="1" customHeight="1">
      <c r="B1757" s="37"/>
      <c r="C1757" s="37"/>
      <c r="D1757" s="38"/>
      <c r="E1757" s="38"/>
      <c r="F1757" s="39"/>
      <c r="K1757" s="5"/>
      <c r="L1757" s="5"/>
      <c r="M1757" s="5"/>
      <c r="N1757" s="5"/>
      <c r="O1757" s="5"/>
      <c r="P1757" s="5"/>
    </row>
    <row r="1758" spans="2:16" s="8" customFormat="1" ht="12.75" hidden="1" customHeight="1">
      <c r="B1758" s="37"/>
      <c r="C1758" s="37"/>
      <c r="D1758" s="38"/>
      <c r="E1758" s="38"/>
      <c r="F1758" s="39"/>
      <c r="K1758" s="5"/>
      <c r="L1758" s="5"/>
      <c r="M1758" s="5"/>
      <c r="N1758" s="5"/>
      <c r="O1758" s="5"/>
      <c r="P1758" s="5"/>
    </row>
    <row r="1759" spans="2:16" s="8" customFormat="1" ht="12.75" hidden="1" customHeight="1">
      <c r="B1759" s="37"/>
      <c r="C1759" s="37"/>
      <c r="D1759" s="38"/>
      <c r="E1759" s="38"/>
      <c r="F1759" s="39"/>
      <c r="K1759" s="5"/>
      <c r="L1759" s="5"/>
      <c r="M1759" s="5"/>
      <c r="N1759" s="5"/>
      <c r="O1759" s="5"/>
      <c r="P1759" s="5"/>
    </row>
    <row r="1760" spans="2:16" s="8" customFormat="1" ht="12.75" hidden="1" customHeight="1">
      <c r="B1760" s="37"/>
      <c r="C1760" s="37"/>
      <c r="D1760" s="38"/>
      <c r="E1760" s="38"/>
      <c r="F1760" s="39"/>
      <c r="K1760" s="5"/>
      <c r="L1760" s="5"/>
      <c r="M1760" s="5"/>
      <c r="N1760" s="5"/>
      <c r="O1760" s="5"/>
      <c r="P1760" s="5"/>
    </row>
    <row r="1761" spans="2:16" s="8" customFormat="1" ht="12.75" hidden="1" customHeight="1">
      <c r="B1761" s="37"/>
      <c r="C1761" s="37"/>
      <c r="D1761" s="38"/>
      <c r="E1761" s="38"/>
      <c r="F1761" s="39"/>
      <c r="K1761" s="5"/>
      <c r="L1761" s="5"/>
      <c r="M1761" s="5"/>
      <c r="N1761" s="5"/>
      <c r="O1761" s="5"/>
      <c r="P1761" s="5"/>
    </row>
    <row r="1762" spans="2:16" s="8" customFormat="1" ht="12.75" hidden="1" customHeight="1">
      <c r="B1762" s="37"/>
      <c r="C1762" s="37"/>
      <c r="D1762" s="38"/>
      <c r="E1762" s="38"/>
      <c r="F1762" s="39"/>
      <c r="K1762" s="5"/>
      <c r="L1762" s="5"/>
      <c r="M1762" s="5"/>
      <c r="N1762" s="5"/>
      <c r="O1762" s="5"/>
      <c r="P1762" s="5"/>
    </row>
    <row r="1763" spans="2:16" s="8" customFormat="1" ht="12.75" hidden="1" customHeight="1">
      <c r="B1763" s="37"/>
      <c r="C1763" s="37"/>
      <c r="D1763" s="38"/>
      <c r="E1763" s="38"/>
      <c r="F1763" s="39"/>
      <c r="K1763" s="5"/>
      <c r="L1763" s="5"/>
      <c r="M1763" s="5"/>
      <c r="N1763" s="5"/>
      <c r="O1763" s="5"/>
      <c r="P1763" s="5"/>
    </row>
    <row r="1764" spans="2:16" s="8" customFormat="1" ht="12.75" hidden="1" customHeight="1">
      <c r="B1764" s="37"/>
      <c r="C1764" s="37"/>
      <c r="D1764" s="38"/>
      <c r="E1764" s="38"/>
      <c r="F1764" s="39"/>
      <c r="K1764" s="5"/>
      <c r="L1764" s="5"/>
      <c r="M1764" s="5"/>
      <c r="N1764" s="5"/>
      <c r="O1764" s="5"/>
      <c r="P1764" s="5"/>
    </row>
    <row r="1765" spans="2:16" s="8" customFormat="1" ht="12.75" hidden="1" customHeight="1">
      <c r="B1765" s="37"/>
      <c r="C1765" s="37"/>
      <c r="D1765" s="38"/>
      <c r="E1765" s="38"/>
      <c r="F1765" s="39"/>
      <c r="K1765" s="5"/>
      <c r="L1765" s="5"/>
      <c r="M1765" s="5"/>
      <c r="N1765" s="5"/>
      <c r="O1765" s="5"/>
      <c r="P1765" s="5"/>
    </row>
    <row r="1766" spans="2:16" s="8" customFormat="1" ht="12.75" hidden="1" customHeight="1">
      <c r="B1766" s="37"/>
      <c r="C1766" s="37"/>
      <c r="D1766" s="38"/>
      <c r="E1766" s="38"/>
      <c r="F1766" s="39"/>
      <c r="K1766" s="5"/>
      <c r="L1766" s="5"/>
      <c r="M1766" s="5"/>
      <c r="N1766" s="5"/>
      <c r="O1766" s="5"/>
      <c r="P1766" s="5"/>
    </row>
    <row r="1767" spans="2:16" s="8" customFormat="1" ht="12.75" hidden="1" customHeight="1">
      <c r="B1767" s="37"/>
      <c r="C1767" s="37"/>
      <c r="D1767" s="38"/>
      <c r="E1767" s="38"/>
      <c r="F1767" s="39"/>
      <c r="K1767" s="5"/>
      <c r="L1767" s="5"/>
      <c r="M1767" s="5"/>
      <c r="N1767" s="5"/>
      <c r="O1767" s="5"/>
      <c r="P1767" s="5"/>
    </row>
    <row r="1768" spans="2:16" s="8" customFormat="1" ht="12.75" hidden="1" customHeight="1">
      <c r="B1768" s="37"/>
      <c r="C1768" s="37"/>
      <c r="D1768" s="38"/>
      <c r="E1768" s="38"/>
      <c r="F1768" s="39"/>
      <c r="K1768" s="5"/>
      <c r="L1768" s="5"/>
      <c r="M1768" s="5"/>
      <c r="N1768" s="5"/>
      <c r="O1768" s="5"/>
      <c r="P1768" s="5"/>
    </row>
    <row r="1769" spans="2:16" s="8" customFormat="1" ht="12.75" hidden="1" customHeight="1">
      <c r="B1769" s="37"/>
      <c r="C1769" s="37"/>
      <c r="D1769" s="38"/>
      <c r="E1769" s="38"/>
      <c r="F1769" s="39"/>
      <c r="K1769" s="5"/>
      <c r="L1769" s="5"/>
      <c r="M1769" s="5"/>
      <c r="N1769" s="5"/>
      <c r="O1769" s="5"/>
      <c r="P1769" s="5"/>
    </row>
    <row r="1770" spans="2:16" s="8" customFormat="1" ht="12.75" hidden="1" customHeight="1">
      <c r="B1770" s="37"/>
      <c r="C1770" s="37"/>
      <c r="D1770" s="38"/>
      <c r="E1770" s="38"/>
      <c r="F1770" s="39"/>
      <c r="K1770" s="5"/>
      <c r="L1770" s="5"/>
      <c r="M1770" s="5"/>
      <c r="N1770" s="5"/>
      <c r="O1770" s="5"/>
      <c r="P1770" s="5"/>
    </row>
    <row r="1771" spans="2:16" s="8" customFormat="1" ht="12.75" hidden="1" customHeight="1">
      <c r="B1771" s="37"/>
      <c r="C1771" s="37"/>
      <c r="D1771" s="38"/>
      <c r="E1771" s="38"/>
      <c r="F1771" s="39"/>
      <c r="K1771" s="5"/>
      <c r="L1771" s="5"/>
      <c r="M1771" s="5"/>
      <c r="N1771" s="5"/>
      <c r="O1771" s="5"/>
      <c r="P1771" s="5"/>
    </row>
    <row r="1772" spans="2:16" s="8" customFormat="1" ht="12.75" hidden="1" customHeight="1">
      <c r="B1772" s="37"/>
      <c r="C1772" s="37"/>
      <c r="D1772" s="38"/>
      <c r="E1772" s="38"/>
      <c r="F1772" s="39"/>
      <c r="K1772" s="5"/>
      <c r="L1772" s="5"/>
      <c r="M1772" s="5"/>
      <c r="N1772" s="5"/>
      <c r="O1772" s="5"/>
      <c r="P1772" s="5"/>
    </row>
    <row r="1773" spans="2:16" s="8" customFormat="1" ht="12.75" hidden="1" customHeight="1">
      <c r="B1773" s="37"/>
      <c r="C1773" s="37"/>
      <c r="D1773" s="38"/>
      <c r="E1773" s="38"/>
      <c r="F1773" s="39"/>
      <c r="K1773" s="5"/>
      <c r="L1773" s="5"/>
      <c r="M1773" s="5"/>
      <c r="N1773" s="5"/>
      <c r="O1773" s="5"/>
      <c r="P1773" s="5"/>
    </row>
    <row r="1774" spans="2:16" s="8" customFormat="1" ht="12.75" hidden="1" customHeight="1">
      <c r="B1774" s="37"/>
      <c r="C1774" s="37"/>
      <c r="D1774" s="38"/>
      <c r="E1774" s="38"/>
      <c r="F1774" s="39"/>
      <c r="K1774" s="5"/>
      <c r="L1774" s="5"/>
      <c r="M1774" s="5"/>
      <c r="N1774" s="5"/>
      <c r="O1774" s="5"/>
      <c r="P1774" s="5"/>
    </row>
    <row r="1775" spans="2:16" s="8" customFormat="1" ht="12.75" hidden="1" customHeight="1">
      <c r="B1775" s="37"/>
      <c r="C1775" s="37"/>
      <c r="D1775" s="38"/>
      <c r="E1775" s="38"/>
      <c r="F1775" s="39"/>
      <c r="K1775" s="5"/>
      <c r="L1775" s="5"/>
      <c r="M1775" s="5"/>
      <c r="N1775" s="5"/>
      <c r="O1775" s="5"/>
      <c r="P1775" s="5"/>
    </row>
    <row r="1776" spans="2:16" s="8" customFormat="1" ht="12.75" hidden="1" customHeight="1">
      <c r="B1776" s="37"/>
      <c r="C1776" s="37"/>
      <c r="D1776" s="38"/>
      <c r="E1776" s="38"/>
      <c r="F1776" s="39"/>
      <c r="K1776" s="5"/>
      <c r="L1776" s="5"/>
      <c r="M1776" s="5"/>
      <c r="N1776" s="5"/>
      <c r="O1776" s="5"/>
      <c r="P1776" s="5"/>
    </row>
    <row r="1777" spans="2:16" s="8" customFormat="1" ht="12.75" hidden="1" customHeight="1">
      <c r="B1777" s="37"/>
      <c r="C1777" s="37"/>
      <c r="D1777" s="38"/>
      <c r="E1777" s="38"/>
      <c r="F1777" s="39"/>
      <c r="K1777" s="5"/>
      <c r="L1777" s="5"/>
      <c r="M1777" s="5"/>
      <c r="N1777" s="5"/>
      <c r="O1777" s="5"/>
      <c r="P1777" s="5"/>
    </row>
    <row r="1778" spans="2:16" s="8" customFormat="1" ht="12.75" hidden="1" customHeight="1">
      <c r="B1778" s="37"/>
      <c r="C1778" s="37"/>
      <c r="D1778" s="38"/>
      <c r="E1778" s="38"/>
      <c r="F1778" s="39"/>
      <c r="K1778" s="5"/>
      <c r="L1778" s="5"/>
      <c r="M1778" s="5"/>
      <c r="N1778" s="5"/>
      <c r="O1778" s="5"/>
      <c r="P1778" s="5"/>
    </row>
    <row r="1779" spans="2:16" s="8" customFormat="1" ht="12.75" hidden="1" customHeight="1">
      <c r="B1779" s="37"/>
      <c r="C1779" s="37"/>
      <c r="D1779" s="38"/>
      <c r="E1779" s="38"/>
      <c r="F1779" s="39"/>
      <c r="K1779" s="5"/>
      <c r="L1779" s="5"/>
      <c r="M1779" s="5"/>
      <c r="N1779" s="5"/>
      <c r="O1779" s="5"/>
      <c r="P1779" s="5"/>
    </row>
    <row r="1780" spans="2:16" s="8" customFormat="1" ht="12.75" hidden="1" customHeight="1">
      <c r="B1780" s="37"/>
      <c r="C1780" s="37"/>
      <c r="D1780" s="38"/>
      <c r="E1780" s="38"/>
      <c r="F1780" s="39"/>
      <c r="K1780" s="5"/>
      <c r="L1780" s="5"/>
      <c r="M1780" s="5"/>
      <c r="N1780" s="5"/>
      <c r="O1780" s="5"/>
      <c r="P1780" s="5"/>
    </row>
    <row r="1781" spans="2:16" s="8" customFormat="1" ht="12.75" hidden="1" customHeight="1">
      <c r="B1781" s="37"/>
      <c r="C1781" s="37"/>
      <c r="D1781" s="38"/>
      <c r="E1781" s="38"/>
      <c r="F1781" s="39"/>
      <c r="K1781" s="5"/>
      <c r="L1781" s="5"/>
      <c r="M1781" s="5"/>
      <c r="N1781" s="5"/>
      <c r="O1781" s="5"/>
      <c r="P1781" s="5"/>
    </row>
    <row r="1782" spans="2:16" s="8" customFormat="1" ht="12.75" hidden="1" customHeight="1">
      <c r="B1782" s="37"/>
      <c r="C1782" s="37"/>
      <c r="D1782" s="38"/>
      <c r="E1782" s="38"/>
      <c r="F1782" s="39"/>
      <c r="K1782" s="5"/>
      <c r="L1782" s="5"/>
      <c r="M1782" s="5"/>
      <c r="N1782" s="5"/>
      <c r="O1782" s="5"/>
      <c r="P1782" s="5"/>
    </row>
    <row r="1783" spans="2:16" s="8" customFormat="1" ht="12.75" hidden="1" customHeight="1">
      <c r="B1783" s="37"/>
      <c r="C1783" s="37"/>
      <c r="D1783" s="38"/>
      <c r="E1783" s="38"/>
      <c r="F1783" s="39"/>
      <c r="K1783" s="5"/>
      <c r="L1783" s="5"/>
      <c r="M1783" s="5"/>
      <c r="N1783" s="5"/>
      <c r="O1783" s="5"/>
      <c r="P1783" s="5"/>
    </row>
    <row r="1784" spans="2:16" s="8" customFormat="1" ht="12.75" hidden="1" customHeight="1">
      <c r="B1784" s="37"/>
      <c r="C1784" s="37"/>
      <c r="D1784" s="38"/>
      <c r="E1784" s="38"/>
      <c r="F1784" s="39"/>
      <c r="K1784" s="5"/>
      <c r="L1784" s="5"/>
      <c r="M1784" s="5"/>
      <c r="N1784" s="5"/>
      <c r="O1784" s="5"/>
      <c r="P1784" s="5"/>
    </row>
    <row r="1785" spans="2:16" s="8" customFormat="1" ht="12.75" hidden="1" customHeight="1">
      <c r="B1785" s="37"/>
      <c r="C1785" s="37"/>
      <c r="D1785" s="38"/>
      <c r="E1785" s="38"/>
      <c r="F1785" s="39"/>
      <c r="K1785" s="5"/>
      <c r="L1785" s="5"/>
      <c r="M1785" s="5"/>
      <c r="N1785" s="5"/>
      <c r="O1785" s="5"/>
      <c r="P1785" s="5"/>
    </row>
    <row r="1786" spans="2:16" s="8" customFormat="1" ht="12.75" hidden="1" customHeight="1">
      <c r="B1786" s="37"/>
      <c r="C1786" s="37"/>
      <c r="D1786" s="38"/>
      <c r="E1786" s="38"/>
      <c r="F1786" s="39"/>
      <c r="K1786" s="5"/>
      <c r="L1786" s="5"/>
      <c r="M1786" s="5"/>
      <c r="N1786" s="5"/>
      <c r="O1786" s="5"/>
      <c r="P1786" s="5"/>
    </row>
    <row r="1787" spans="2:16" s="8" customFormat="1" ht="12.75" hidden="1" customHeight="1">
      <c r="B1787" s="37"/>
      <c r="C1787" s="37"/>
      <c r="D1787" s="38"/>
      <c r="E1787" s="38"/>
      <c r="F1787" s="39"/>
      <c r="K1787" s="5"/>
      <c r="L1787" s="5"/>
      <c r="M1787" s="5"/>
      <c r="N1787" s="5"/>
      <c r="O1787" s="5"/>
      <c r="P1787" s="5"/>
    </row>
    <row r="1788" spans="2:16" s="8" customFormat="1" ht="12.75" hidden="1" customHeight="1">
      <c r="B1788" s="37"/>
      <c r="C1788" s="37"/>
      <c r="D1788" s="38"/>
      <c r="E1788" s="38"/>
      <c r="F1788" s="39"/>
      <c r="K1788" s="5"/>
      <c r="L1788" s="5"/>
      <c r="M1788" s="5"/>
      <c r="N1788" s="5"/>
      <c r="O1788" s="5"/>
      <c r="P1788" s="5"/>
    </row>
    <row r="1789" spans="2:16" s="8" customFormat="1" ht="12.75" hidden="1" customHeight="1">
      <c r="B1789" s="37"/>
      <c r="C1789" s="37"/>
      <c r="D1789" s="38"/>
      <c r="E1789" s="38"/>
      <c r="F1789" s="39"/>
      <c r="K1789" s="5"/>
      <c r="L1789" s="5"/>
      <c r="M1789" s="5"/>
      <c r="N1789" s="5"/>
      <c r="O1789" s="5"/>
      <c r="P1789" s="5"/>
    </row>
    <row r="1790" spans="2:16" s="8" customFormat="1" ht="12.75" hidden="1" customHeight="1">
      <c r="B1790" s="37"/>
      <c r="C1790" s="37"/>
      <c r="D1790" s="38"/>
      <c r="E1790" s="38"/>
      <c r="F1790" s="39"/>
      <c r="K1790" s="5"/>
      <c r="L1790" s="5"/>
      <c r="M1790" s="5"/>
      <c r="N1790" s="5"/>
      <c r="O1790" s="5"/>
      <c r="P1790" s="5"/>
    </row>
    <row r="1791" spans="2:16" s="8" customFormat="1" ht="12.75" hidden="1" customHeight="1">
      <c r="B1791" s="37"/>
      <c r="C1791" s="37"/>
      <c r="D1791" s="38"/>
      <c r="E1791" s="38"/>
      <c r="F1791" s="39"/>
      <c r="K1791" s="5"/>
      <c r="L1791" s="5"/>
      <c r="M1791" s="5"/>
      <c r="N1791" s="5"/>
      <c r="O1791" s="5"/>
      <c r="P1791" s="5"/>
    </row>
    <row r="1792" spans="2:16" s="8" customFormat="1" ht="12.75" hidden="1" customHeight="1">
      <c r="B1792" s="37"/>
      <c r="C1792" s="37"/>
      <c r="D1792" s="38"/>
      <c r="E1792" s="38"/>
      <c r="F1792" s="39"/>
      <c r="K1792" s="5"/>
      <c r="L1792" s="5"/>
      <c r="M1792" s="5"/>
      <c r="N1792" s="5"/>
      <c r="O1792" s="5"/>
      <c r="P1792" s="5"/>
    </row>
    <row r="1793" spans="2:16" s="8" customFormat="1" ht="12.75" hidden="1" customHeight="1">
      <c r="B1793" s="37"/>
      <c r="C1793" s="37"/>
      <c r="D1793" s="38"/>
      <c r="E1793" s="38"/>
      <c r="F1793" s="39"/>
      <c r="K1793" s="5"/>
      <c r="L1793" s="5"/>
      <c r="M1793" s="5"/>
      <c r="N1793" s="5"/>
      <c r="O1793" s="5"/>
      <c r="P1793" s="5"/>
    </row>
    <row r="1794" spans="2:16" s="8" customFormat="1" ht="12.75" hidden="1" customHeight="1">
      <c r="B1794" s="37"/>
      <c r="C1794" s="37"/>
      <c r="D1794" s="38"/>
      <c r="E1794" s="38"/>
      <c r="F1794" s="39"/>
      <c r="K1794" s="5"/>
      <c r="L1794" s="5"/>
      <c r="M1794" s="5"/>
      <c r="N1794" s="5"/>
      <c r="O1794" s="5"/>
      <c r="P1794" s="5"/>
    </row>
    <row r="1795" spans="2:16" s="8" customFormat="1" ht="12.75" hidden="1" customHeight="1">
      <c r="B1795" s="37"/>
      <c r="C1795" s="37"/>
      <c r="D1795" s="38"/>
      <c r="E1795" s="38"/>
      <c r="F1795" s="39"/>
      <c r="K1795" s="5"/>
      <c r="L1795" s="5"/>
      <c r="M1795" s="5"/>
      <c r="N1795" s="5"/>
      <c r="O1795" s="5"/>
      <c r="P1795" s="5"/>
    </row>
    <row r="1796" spans="2:16" s="8" customFormat="1" ht="12.75" hidden="1" customHeight="1">
      <c r="B1796" s="37"/>
      <c r="C1796" s="37"/>
      <c r="D1796" s="38"/>
      <c r="E1796" s="38"/>
      <c r="F1796" s="39"/>
      <c r="K1796" s="5"/>
      <c r="L1796" s="5"/>
      <c r="M1796" s="5"/>
      <c r="N1796" s="5"/>
      <c r="O1796" s="5"/>
      <c r="P1796" s="5"/>
    </row>
    <row r="1797" spans="2:16" s="8" customFormat="1" ht="12.75" hidden="1" customHeight="1">
      <c r="B1797" s="37"/>
      <c r="C1797" s="37"/>
      <c r="D1797" s="38"/>
      <c r="E1797" s="38"/>
      <c r="F1797" s="39"/>
      <c r="K1797" s="5"/>
      <c r="L1797" s="5"/>
      <c r="M1797" s="5"/>
      <c r="N1797" s="5"/>
      <c r="O1797" s="5"/>
      <c r="P1797" s="5"/>
    </row>
    <row r="1798" spans="2:16" s="8" customFormat="1" ht="12.75" hidden="1" customHeight="1">
      <c r="B1798" s="37"/>
      <c r="C1798" s="37"/>
      <c r="D1798" s="38"/>
      <c r="E1798" s="38"/>
      <c r="F1798" s="39"/>
      <c r="K1798" s="5"/>
      <c r="L1798" s="5"/>
      <c r="M1798" s="5"/>
      <c r="N1798" s="5"/>
      <c r="O1798" s="5"/>
      <c r="P1798" s="5"/>
    </row>
    <row r="1799" spans="2:16" s="8" customFormat="1" ht="12.75" hidden="1" customHeight="1">
      <c r="B1799" s="37"/>
      <c r="C1799" s="37"/>
      <c r="D1799" s="38"/>
      <c r="E1799" s="38"/>
      <c r="F1799" s="39"/>
      <c r="K1799" s="5"/>
      <c r="L1799" s="5"/>
      <c r="M1799" s="5"/>
      <c r="N1799" s="5"/>
      <c r="O1799" s="5"/>
      <c r="P1799" s="5"/>
    </row>
    <row r="1800" spans="2:16" s="8" customFormat="1" ht="12.75" hidden="1" customHeight="1">
      <c r="B1800" s="37"/>
      <c r="C1800" s="37"/>
      <c r="D1800" s="38"/>
      <c r="E1800" s="38"/>
      <c r="F1800" s="39"/>
      <c r="K1800" s="5"/>
      <c r="L1800" s="5"/>
      <c r="M1800" s="5"/>
      <c r="N1800" s="5"/>
      <c r="O1800" s="5"/>
      <c r="P1800" s="5"/>
    </row>
    <row r="1801" spans="2:16" s="8" customFormat="1" ht="12.75" hidden="1" customHeight="1">
      <c r="B1801" s="37"/>
      <c r="C1801" s="37"/>
      <c r="D1801" s="38"/>
      <c r="E1801" s="38"/>
      <c r="F1801" s="39"/>
      <c r="K1801" s="5"/>
      <c r="L1801" s="5"/>
      <c r="M1801" s="5"/>
      <c r="N1801" s="5"/>
      <c r="O1801" s="5"/>
      <c r="P1801" s="5"/>
    </row>
    <row r="1802" spans="2:16" s="8" customFormat="1" ht="12.75" hidden="1" customHeight="1">
      <c r="B1802" s="37"/>
      <c r="C1802" s="37"/>
      <c r="D1802" s="38"/>
      <c r="E1802" s="38"/>
      <c r="F1802" s="39"/>
      <c r="K1802" s="5"/>
      <c r="L1802" s="5"/>
      <c r="M1802" s="5"/>
      <c r="N1802" s="5"/>
      <c r="O1802" s="5"/>
      <c r="P1802" s="5"/>
    </row>
    <row r="1803" spans="2:16" s="8" customFormat="1" ht="12.75" hidden="1" customHeight="1">
      <c r="B1803" s="37"/>
      <c r="C1803" s="37"/>
      <c r="D1803" s="38"/>
      <c r="E1803" s="38"/>
      <c r="F1803" s="39"/>
      <c r="K1803" s="5"/>
      <c r="L1803" s="5"/>
      <c r="M1803" s="5"/>
      <c r="N1803" s="5"/>
      <c r="O1803" s="5"/>
      <c r="P1803" s="5"/>
    </row>
    <row r="1804" spans="2:16" s="8" customFormat="1" ht="12.75" hidden="1" customHeight="1">
      <c r="B1804" s="37"/>
      <c r="C1804" s="37"/>
      <c r="D1804" s="38"/>
      <c r="E1804" s="38"/>
      <c r="F1804" s="39"/>
      <c r="K1804" s="5"/>
      <c r="L1804" s="5"/>
      <c r="M1804" s="5"/>
      <c r="N1804" s="5"/>
      <c r="O1804" s="5"/>
      <c r="P1804" s="5"/>
    </row>
    <row r="1805" spans="2:16" s="8" customFormat="1" ht="12.75" hidden="1" customHeight="1">
      <c r="B1805" s="37"/>
      <c r="C1805" s="37"/>
      <c r="D1805" s="38"/>
      <c r="E1805" s="38"/>
      <c r="F1805" s="39"/>
      <c r="K1805" s="5"/>
      <c r="L1805" s="5"/>
      <c r="M1805" s="5"/>
      <c r="N1805" s="5"/>
      <c r="O1805" s="5"/>
      <c r="P1805" s="5"/>
    </row>
    <row r="1806" spans="2:16" s="8" customFormat="1" ht="12.75" hidden="1" customHeight="1">
      <c r="B1806" s="37"/>
      <c r="C1806" s="37"/>
      <c r="D1806" s="38"/>
      <c r="E1806" s="38"/>
      <c r="F1806" s="39"/>
      <c r="K1806" s="5"/>
      <c r="L1806" s="5"/>
      <c r="M1806" s="5"/>
      <c r="N1806" s="5"/>
      <c r="O1806" s="5"/>
      <c r="P1806" s="5"/>
    </row>
    <row r="1807" spans="2:16" s="8" customFormat="1" ht="12.75" hidden="1" customHeight="1">
      <c r="B1807" s="37"/>
      <c r="C1807" s="37"/>
      <c r="D1807" s="38"/>
      <c r="E1807" s="38"/>
      <c r="F1807" s="39"/>
      <c r="K1807" s="5"/>
      <c r="L1807" s="5"/>
      <c r="M1807" s="5"/>
      <c r="N1807" s="5"/>
      <c r="O1807" s="5"/>
      <c r="P1807" s="5"/>
    </row>
    <row r="1808" spans="2:16" s="8" customFormat="1" ht="12.75" hidden="1" customHeight="1">
      <c r="B1808" s="37"/>
      <c r="C1808" s="37"/>
      <c r="D1808" s="38"/>
      <c r="E1808" s="38"/>
      <c r="F1808" s="39"/>
      <c r="K1808" s="5"/>
      <c r="L1808" s="5"/>
      <c r="M1808" s="5"/>
      <c r="N1808" s="5"/>
      <c r="O1808" s="5"/>
      <c r="P1808" s="5"/>
    </row>
    <row r="1809" spans="2:16" s="8" customFormat="1" ht="12.75" hidden="1" customHeight="1">
      <c r="B1809" s="37"/>
      <c r="C1809" s="37"/>
      <c r="D1809" s="38"/>
      <c r="E1809" s="38"/>
      <c r="F1809" s="39"/>
      <c r="K1809" s="5"/>
      <c r="L1809" s="5"/>
      <c r="M1809" s="5"/>
      <c r="N1809" s="5"/>
      <c r="O1809" s="5"/>
      <c r="P1809" s="5"/>
    </row>
    <row r="1810" spans="2:16" s="8" customFormat="1" ht="12.75" hidden="1" customHeight="1">
      <c r="B1810" s="37"/>
      <c r="C1810" s="37"/>
      <c r="D1810" s="38"/>
      <c r="E1810" s="38"/>
      <c r="F1810" s="39"/>
      <c r="K1810" s="5"/>
      <c r="L1810" s="5"/>
      <c r="M1810" s="5"/>
      <c r="N1810" s="5"/>
      <c r="O1810" s="5"/>
      <c r="P1810" s="5"/>
    </row>
    <row r="1811" spans="2:16" s="8" customFormat="1" ht="12.75" hidden="1" customHeight="1">
      <c r="B1811" s="37"/>
      <c r="C1811" s="37"/>
      <c r="D1811" s="38"/>
      <c r="E1811" s="38"/>
      <c r="F1811" s="39"/>
      <c r="K1811" s="5"/>
      <c r="L1811" s="5"/>
      <c r="M1811" s="5"/>
      <c r="N1811" s="5"/>
      <c r="O1811" s="5"/>
      <c r="P1811" s="5"/>
    </row>
    <row r="1812" spans="2:16" s="8" customFormat="1" ht="12.75" hidden="1" customHeight="1">
      <c r="B1812" s="37"/>
      <c r="C1812" s="37"/>
      <c r="D1812" s="38"/>
      <c r="E1812" s="38"/>
      <c r="F1812" s="39"/>
      <c r="K1812" s="5"/>
      <c r="L1812" s="5"/>
      <c r="M1812" s="5"/>
      <c r="N1812" s="5"/>
      <c r="O1812" s="5"/>
      <c r="P1812" s="5"/>
    </row>
    <row r="1813" spans="2:16" s="8" customFormat="1" ht="12.75" hidden="1" customHeight="1">
      <c r="B1813" s="37"/>
      <c r="C1813" s="37"/>
      <c r="D1813" s="38"/>
      <c r="E1813" s="38"/>
      <c r="F1813" s="39"/>
      <c r="K1813" s="5"/>
      <c r="L1813" s="5"/>
      <c r="M1813" s="5"/>
      <c r="N1813" s="5"/>
      <c r="O1813" s="5"/>
      <c r="P1813" s="5"/>
    </row>
    <row r="1814" spans="2:16" s="8" customFormat="1" ht="12.75" hidden="1" customHeight="1">
      <c r="B1814" s="37"/>
      <c r="C1814" s="37"/>
      <c r="D1814" s="38"/>
      <c r="E1814" s="38"/>
      <c r="F1814" s="39"/>
      <c r="K1814" s="5"/>
      <c r="L1814" s="5"/>
      <c r="M1814" s="5"/>
      <c r="N1814" s="5"/>
      <c r="O1814" s="5"/>
      <c r="P1814" s="5"/>
    </row>
    <row r="1815" spans="2:16" s="8" customFormat="1" ht="12.75" hidden="1" customHeight="1">
      <c r="B1815" s="37"/>
      <c r="C1815" s="37"/>
      <c r="D1815" s="38"/>
      <c r="E1815" s="38"/>
      <c r="F1815" s="39"/>
      <c r="K1815" s="5"/>
      <c r="L1815" s="5"/>
      <c r="M1815" s="5"/>
      <c r="N1815" s="5"/>
      <c r="O1815" s="5"/>
      <c r="P1815" s="5"/>
    </row>
    <row r="1816" spans="2:16" s="8" customFormat="1" ht="12.75" hidden="1" customHeight="1">
      <c r="B1816" s="37"/>
      <c r="C1816" s="37"/>
      <c r="D1816" s="38"/>
      <c r="E1816" s="38"/>
      <c r="F1816" s="39"/>
      <c r="K1816" s="5"/>
      <c r="L1816" s="5"/>
      <c r="M1816" s="5"/>
      <c r="N1816" s="5"/>
      <c r="O1816" s="5"/>
      <c r="P1816" s="5"/>
    </row>
    <row r="1817" spans="2:16" s="8" customFormat="1" ht="12.75" hidden="1" customHeight="1">
      <c r="B1817" s="37"/>
      <c r="C1817" s="37"/>
      <c r="D1817" s="38"/>
      <c r="E1817" s="38"/>
      <c r="F1817" s="39"/>
      <c r="K1817" s="5"/>
      <c r="L1817" s="5"/>
      <c r="M1817" s="5"/>
      <c r="N1817" s="5"/>
      <c r="O1817" s="5"/>
      <c r="P1817" s="5"/>
    </row>
    <row r="1818" spans="2:16" s="8" customFormat="1" ht="12.75" hidden="1" customHeight="1">
      <c r="B1818" s="37"/>
      <c r="C1818" s="37"/>
      <c r="D1818" s="38"/>
      <c r="E1818" s="38"/>
      <c r="F1818" s="39"/>
      <c r="K1818" s="5"/>
      <c r="L1818" s="5"/>
      <c r="M1818" s="5"/>
      <c r="N1818" s="5"/>
      <c r="O1818" s="5"/>
      <c r="P1818" s="5"/>
    </row>
    <row r="1819" spans="2:16" s="8" customFormat="1" ht="12.75" hidden="1" customHeight="1">
      <c r="B1819" s="37"/>
      <c r="C1819" s="37"/>
      <c r="D1819" s="38"/>
      <c r="E1819" s="38"/>
      <c r="F1819" s="39"/>
      <c r="K1819" s="5"/>
      <c r="L1819" s="5"/>
      <c r="M1819" s="5"/>
      <c r="N1819" s="5"/>
      <c r="O1819" s="5"/>
      <c r="P1819" s="5"/>
    </row>
    <row r="1820" spans="2:16" s="8" customFormat="1" ht="12.75" hidden="1" customHeight="1">
      <c r="B1820" s="37"/>
      <c r="C1820" s="37"/>
      <c r="D1820" s="38"/>
      <c r="E1820" s="38"/>
      <c r="F1820" s="39"/>
      <c r="K1820" s="5"/>
      <c r="L1820" s="5"/>
      <c r="M1820" s="5"/>
      <c r="N1820" s="5"/>
      <c r="O1820" s="5"/>
      <c r="P1820" s="5"/>
    </row>
    <row r="1821" spans="2:16" s="8" customFormat="1" ht="12.75" hidden="1" customHeight="1">
      <c r="B1821" s="37"/>
      <c r="C1821" s="37"/>
      <c r="D1821" s="38"/>
      <c r="E1821" s="38"/>
      <c r="F1821" s="39"/>
      <c r="K1821" s="5"/>
      <c r="L1821" s="5"/>
      <c r="M1821" s="5"/>
      <c r="N1821" s="5"/>
      <c r="O1821" s="5"/>
      <c r="P1821" s="5"/>
    </row>
    <row r="1822" spans="2:16" s="8" customFormat="1" ht="12.75" hidden="1" customHeight="1">
      <c r="B1822" s="37"/>
      <c r="C1822" s="37"/>
      <c r="D1822" s="38"/>
      <c r="E1822" s="38"/>
      <c r="F1822" s="39"/>
      <c r="K1822" s="5"/>
      <c r="L1822" s="5"/>
      <c r="M1822" s="5"/>
      <c r="N1822" s="5"/>
      <c r="O1822" s="5"/>
      <c r="P1822" s="5"/>
    </row>
    <row r="1823" spans="2:16" s="8" customFormat="1" ht="12.75" hidden="1" customHeight="1">
      <c r="B1823" s="37"/>
      <c r="C1823" s="37"/>
      <c r="D1823" s="38"/>
      <c r="E1823" s="38"/>
      <c r="F1823" s="39"/>
      <c r="K1823" s="5"/>
      <c r="L1823" s="5"/>
      <c r="M1823" s="5"/>
      <c r="N1823" s="5"/>
      <c r="O1823" s="5"/>
      <c r="P1823" s="5"/>
    </row>
    <row r="1824" spans="2:16" s="8" customFormat="1" ht="12.75" hidden="1" customHeight="1">
      <c r="B1824" s="37"/>
      <c r="C1824" s="37"/>
      <c r="D1824" s="38"/>
      <c r="E1824" s="38"/>
      <c r="F1824" s="39"/>
      <c r="K1824" s="5"/>
      <c r="L1824" s="5"/>
      <c r="M1824" s="5"/>
      <c r="N1824" s="5"/>
      <c r="O1824" s="5"/>
      <c r="P1824" s="5"/>
    </row>
    <row r="1825" spans="2:16" s="8" customFormat="1" ht="12.75" hidden="1" customHeight="1">
      <c r="B1825" s="37"/>
      <c r="C1825" s="37"/>
      <c r="D1825" s="38"/>
      <c r="E1825" s="38"/>
      <c r="F1825" s="39"/>
      <c r="K1825" s="5"/>
      <c r="L1825" s="5"/>
      <c r="M1825" s="5"/>
      <c r="N1825" s="5"/>
      <c r="O1825" s="5"/>
      <c r="P1825" s="5"/>
    </row>
    <row r="1826" spans="2:16" s="8" customFormat="1" ht="12.75" hidden="1" customHeight="1">
      <c r="B1826" s="37"/>
      <c r="C1826" s="37"/>
      <c r="D1826" s="38"/>
      <c r="E1826" s="38"/>
      <c r="F1826" s="39"/>
      <c r="K1826" s="5"/>
      <c r="L1826" s="5"/>
      <c r="M1826" s="5"/>
      <c r="N1826" s="5"/>
      <c r="O1826" s="5"/>
      <c r="P1826" s="5"/>
    </row>
    <row r="1827" spans="2:16" s="8" customFormat="1" ht="12.75" hidden="1" customHeight="1">
      <c r="B1827" s="37"/>
      <c r="C1827" s="37"/>
      <c r="D1827" s="38"/>
      <c r="E1827" s="38"/>
      <c r="F1827" s="39"/>
      <c r="K1827" s="5"/>
      <c r="L1827" s="5"/>
      <c r="M1827" s="5"/>
      <c r="N1827" s="5"/>
      <c r="O1827" s="5"/>
      <c r="P1827" s="5"/>
    </row>
    <row r="1828" spans="2:16" s="8" customFormat="1" ht="12.75" hidden="1" customHeight="1">
      <c r="B1828" s="37"/>
      <c r="C1828" s="37"/>
      <c r="D1828" s="38"/>
      <c r="E1828" s="38"/>
      <c r="F1828" s="39"/>
      <c r="K1828" s="5"/>
      <c r="L1828" s="5"/>
      <c r="M1828" s="5"/>
      <c r="N1828" s="5"/>
      <c r="O1828" s="5"/>
      <c r="P1828" s="5"/>
    </row>
    <row r="1829" spans="2:16" s="8" customFormat="1" ht="12.75" hidden="1" customHeight="1">
      <c r="B1829" s="37"/>
      <c r="C1829" s="37"/>
      <c r="D1829" s="38"/>
      <c r="E1829" s="38"/>
      <c r="F1829" s="39"/>
      <c r="K1829" s="5"/>
      <c r="L1829" s="5"/>
      <c r="M1829" s="5"/>
      <c r="N1829" s="5"/>
      <c r="O1829" s="5"/>
      <c r="P1829" s="5"/>
    </row>
    <row r="1830" spans="2:16" s="8" customFormat="1" ht="12.75" hidden="1" customHeight="1">
      <c r="B1830" s="37"/>
      <c r="C1830" s="37"/>
      <c r="D1830" s="38"/>
      <c r="E1830" s="38"/>
      <c r="F1830" s="39"/>
      <c r="K1830" s="5"/>
      <c r="L1830" s="5"/>
      <c r="M1830" s="5"/>
      <c r="N1830" s="5"/>
      <c r="O1830" s="5"/>
      <c r="P1830" s="5"/>
    </row>
    <row r="1831" spans="2:16" s="8" customFormat="1" ht="12.75" hidden="1" customHeight="1">
      <c r="B1831" s="37"/>
      <c r="C1831" s="37"/>
      <c r="D1831" s="38"/>
      <c r="E1831" s="38"/>
      <c r="F1831" s="39"/>
      <c r="K1831" s="5"/>
      <c r="L1831" s="5"/>
      <c r="M1831" s="5"/>
      <c r="N1831" s="5"/>
      <c r="O1831" s="5"/>
      <c r="P1831" s="5"/>
    </row>
    <row r="1832" spans="2:16" s="8" customFormat="1" ht="12.75" hidden="1" customHeight="1">
      <c r="B1832" s="37"/>
      <c r="C1832" s="37"/>
      <c r="D1832" s="38"/>
      <c r="E1832" s="38"/>
      <c r="F1832" s="39"/>
      <c r="K1832" s="5"/>
      <c r="L1832" s="5"/>
      <c r="M1832" s="5"/>
      <c r="N1832" s="5"/>
      <c r="O1832" s="5"/>
      <c r="P1832" s="5"/>
    </row>
    <row r="1833" spans="2:16" s="8" customFormat="1" ht="12.75" hidden="1" customHeight="1">
      <c r="B1833" s="37"/>
      <c r="C1833" s="37"/>
      <c r="D1833" s="38"/>
      <c r="E1833" s="38"/>
      <c r="F1833" s="39"/>
      <c r="K1833" s="5"/>
      <c r="L1833" s="5"/>
      <c r="M1833" s="5"/>
      <c r="N1833" s="5"/>
      <c r="O1833" s="5"/>
      <c r="P1833" s="5"/>
    </row>
    <row r="1834" spans="2:16" s="8" customFormat="1" ht="12.75" hidden="1" customHeight="1">
      <c r="B1834" s="37"/>
      <c r="C1834" s="37"/>
      <c r="D1834" s="38"/>
      <c r="E1834" s="38"/>
      <c r="F1834" s="39"/>
      <c r="K1834" s="5"/>
      <c r="L1834" s="5"/>
      <c r="M1834" s="5"/>
      <c r="N1834" s="5"/>
      <c r="O1834" s="5"/>
      <c r="P1834" s="5"/>
    </row>
    <row r="1835" spans="2:16" s="8" customFormat="1" ht="12.75" hidden="1" customHeight="1">
      <c r="B1835" s="37"/>
      <c r="C1835" s="37"/>
      <c r="D1835" s="38"/>
      <c r="E1835" s="38"/>
      <c r="F1835" s="39"/>
      <c r="K1835" s="5"/>
      <c r="L1835" s="5"/>
      <c r="M1835" s="5"/>
      <c r="N1835" s="5"/>
      <c r="O1835" s="5"/>
      <c r="P1835" s="5"/>
    </row>
    <row r="1836" spans="2:16" s="8" customFormat="1" ht="12.75" hidden="1" customHeight="1">
      <c r="B1836" s="37"/>
      <c r="C1836" s="37"/>
      <c r="D1836" s="38"/>
      <c r="E1836" s="38"/>
      <c r="F1836" s="39"/>
      <c r="K1836" s="5"/>
      <c r="L1836" s="5"/>
      <c r="M1836" s="5"/>
      <c r="N1836" s="5"/>
      <c r="O1836" s="5"/>
      <c r="P1836" s="5"/>
    </row>
    <row r="1837" spans="2:16" s="8" customFormat="1" ht="12.75" hidden="1" customHeight="1">
      <c r="B1837" s="37"/>
      <c r="C1837" s="37"/>
      <c r="D1837" s="38"/>
      <c r="E1837" s="38"/>
      <c r="F1837" s="39"/>
      <c r="K1837" s="5"/>
      <c r="L1837" s="5"/>
      <c r="M1837" s="5"/>
      <c r="N1837" s="5"/>
      <c r="O1837" s="5"/>
      <c r="P1837" s="5"/>
    </row>
    <row r="1838" spans="2:16" s="8" customFormat="1" ht="12.75" hidden="1" customHeight="1">
      <c r="B1838" s="37"/>
      <c r="C1838" s="37"/>
      <c r="D1838" s="38"/>
      <c r="E1838" s="38"/>
      <c r="F1838" s="39"/>
      <c r="K1838" s="5"/>
      <c r="L1838" s="5"/>
      <c r="M1838" s="5"/>
      <c r="N1838" s="5"/>
      <c r="O1838" s="5"/>
      <c r="P1838" s="5"/>
    </row>
    <row r="1839" spans="2:16" s="8" customFormat="1" ht="12.75" hidden="1" customHeight="1">
      <c r="B1839" s="37"/>
      <c r="C1839" s="37"/>
      <c r="D1839" s="38"/>
      <c r="E1839" s="38"/>
      <c r="F1839" s="39"/>
      <c r="K1839" s="5"/>
      <c r="L1839" s="5"/>
      <c r="M1839" s="5"/>
      <c r="N1839" s="5"/>
      <c r="O1839" s="5"/>
      <c r="P1839" s="5"/>
    </row>
    <row r="1840" spans="2:16" s="8" customFormat="1" ht="12.75" hidden="1" customHeight="1">
      <c r="B1840" s="37"/>
      <c r="C1840" s="37"/>
      <c r="D1840" s="38"/>
      <c r="E1840" s="38"/>
      <c r="F1840" s="39"/>
      <c r="K1840" s="5"/>
      <c r="L1840" s="5"/>
      <c r="M1840" s="5"/>
      <c r="N1840" s="5"/>
      <c r="O1840" s="5"/>
      <c r="P1840" s="5"/>
    </row>
    <row r="1841" spans="2:16" s="8" customFormat="1" ht="12.75" hidden="1" customHeight="1">
      <c r="B1841" s="37"/>
      <c r="C1841" s="37"/>
      <c r="D1841" s="38"/>
      <c r="E1841" s="38"/>
      <c r="F1841" s="39"/>
      <c r="K1841" s="5"/>
      <c r="L1841" s="5"/>
      <c r="M1841" s="5"/>
      <c r="N1841" s="5"/>
      <c r="O1841" s="5"/>
      <c r="P1841" s="5"/>
    </row>
    <row r="1842" spans="2:16" s="8" customFormat="1" ht="12.75" hidden="1" customHeight="1">
      <c r="B1842" s="37"/>
      <c r="C1842" s="37"/>
      <c r="D1842" s="38"/>
      <c r="E1842" s="38"/>
      <c r="F1842" s="39"/>
      <c r="K1842" s="5"/>
      <c r="L1842" s="5"/>
      <c r="M1842" s="5"/>
      <c r="N1842" s="5"/>
      <c r="O1842" s="5"/>
      <c r="P1842" s="5"/>
    </row>
    <row r="1843" spans="2:16" s="8" customFormat="1" ht="12.75" hidden="1" customHeight="1">
      <c r="B1843" s="37"/>
      <c r="C1843" s="37"/>
      <c r="D1843" s="38"/>
      <c r="E1843" s="38"/>
      <c r="F1843" s="39"/>
      <c r="K1843" s="5"/>
      <c r="L1843" s="5"/>
      <c r="M1843" s="5"/>
      <c r="N1843" s="5"/>
      <c r="O1843" s="5"/>
      <c r="P1843" s="5"/>
    </row>
    <row r="1844" spans="2:16" s="8" customFormat="1" ht="12.75" hidden="1" customHeight="1">
      <c r="B1844" s="37"/>
      <c r="C1844" s="37"/>
      <c r="D1844" s="38"/>
      <c r="E1844" s="38"/>
      <c r="F1844" s="39"/>
      <c r="K1844" s="5"/>
      <c r="L1844" s="5"/>
      <c r="M1844" s="5"/>
      <c r="N1844" s="5"/>
      <c r="O1844" s="5"/>
      <c r="P1844" s="5"/>
    </row>
    <row r="1845" spans="2:16" s="8" customFormat="1" ht="12.75" hidden="1" customHeight="1">
      <c r="B1845" s="37"/>
      <c r="C1845" s="37"/>
      <c r="D1845" s="38"/>
      <c r="E1845" s="38"/>
      <c r="F1845" s="39"/>
      <c r="K1845" s="5"/>
      <c r="L1845" s="5"/>
      <c r="M1845" s="5"/>
      <c r="N1845" s="5"/>
      <c r="O1845" s="5"/>
      <c r="P1845" s="5"/>
    </row>
    <row r="1846" spans="2:16" s="8" customFormat="1" ht="12.75" hidden="1" customHeight="1">
      <c r="B1846" s="37"/>
      <c r="C1846" s="37"/>
      <c r="D1846" s="38"/>
      <c r="E1846" s="38"/>
      <c r="F1846" s="39"/>
      <c r="K1846" s="5"/>
      <c r="L1846" s="5"/>
      <c r="M1846" s="5"/>
      <c r="N1846" s="5"/>
      <c r="O1846" s="5"/>
      <c r="P1846" s="5"/>
    </row>
    <row r="1847" spans="2:16" s="8" customFormat="1" ht="12.75" hidden="1" customHeight="1">
      <c r="B1847" s="37"/>
      <c r="C1847" s="37"/>
      <c r="D1847" s="38"/>
      <c r="E1847" s="38"/>
      <c r="F1847" s="39"/>
      <c r="K1847" s="5"/>
      <c r="L1847" s="5"/>
      <c r="M1847" s="5"/>
      <c r="N1847" s="5"/>
      <c r="O1847" s="5"/>
      <c r="P1847" s="5"/>
    </row>
    <row r="1848" spans="2:16" s="8" customFormat="1" ht="12.75" hidden="1" customHeight="1">
      <c r="B1848" s="37"/>
      <c r="C1848" s="37"/>
      <c r="D1848" s="38"/>
      <c r="E1848" s="38"/>
      <c r="F1848" s="39"/>
      <c r="K1848" s="5"/>
      <c r="L1848" s="5"/>
      <c r="M1848" s="5"/>
      <c r="N1848" s="5"/>
      <c r="O1848" s="5"/>
      <c r="P1848" s="5"/>
    </row>
    <row r="1849" spans="2:16" s="8" customFormat="1" ht="12.75" hidden="1" customHeight="1">
      <c r="B1849" s="37"/>
      <c r="C1849" s="37"/>
      <c r="D1849" s="38"/>
      <c r="E1849" s="38"/>
      <c r="F1849" s="39"/>
      <c r="K1849" s="5"/>
      <c r="L1849" s="5"/>
      <c r="M1849" s="5"/>
      <c r="N1849" s="5"/>
      <c r="O1849" s="5"/>
      <c r="P1849" s="5"/>
    </row>
    <row r="1850" spans="2:16" s="8" customFormat="1" ht="12.75" hidden="1" customHeight="1">
      <c r="B1850" s="37"/>
      <c r="C1850" s="37"/>
      <c r="D1850" s="38"/>
      <c r="E1850" s="38"/>
      <c r="F1850" s="39"/>
      <c r="K1850" s="5"/>
      <c r="L1850" s="5"/>
      <c r="M1850" s="5"/>
      <c r="N1850" s="5"/>
      <c r="O1850" s="5"/>
      <c r="P1850" s="5"/>
    </row>
    <row r="1851" spans="2:16" s="8" customFormat="1" ht="12.75" hidden="1" customHeight="1">
      <c r="B1851" s="37"/>
      <c r="C1851" s="37"/>
      <c r="D1851" s="38"/>
      <c r="E1851" s="38"/>
      <c r="F1851" s="39"/>
      <c r="K1851" s="5"/>
      <c r="L1851" s="5"/>
      <c r="M1851" s="5"/>
      <c r="N1851" s="5"/>
      <c r="O1851" s="5"/>
      <c r="P1851" s="5"/>
    </row>
    <row r="1852" spans="2:16" s="8" customFormat="1" ht="12.75" hidden="1" customHeight="1">
      <c r="B1852" s="37"/>
      <c r="C1852" s="37"/>
      <c r="D1852" s="38"/>
      <c r="E1852" s="38"/>
      <c r="F1852" s="39"/>
      <c r="K1852" s="5"/>
      <c r="L1852" s="5"/>
      <c r="M1852" s="5"/>
      <c r="N1852" s="5"/>
      <c r="O1852" s="5"/>
      <c r="P1852" s="5"/>
    </row>
    <row r="1853" spans="2:16" s="8" customFormat="1" ht="12.75" hidden="1" customHeight="1">
      <c r="B1853" s="37"/>
      <c r="C1853" s="37"/>
      <c r="D1853" s="38"/>
      <c r="E1853" s="38"/>
      <c r="F1853" s="39"/>
      <c r="K1853" s="5"/>
      <c r="L1853" s="5"/>
      <c r="M1853" s="5"/>
      <c r="N1853" s="5"/>
      <c r="O1853" s="5"/>
      <c r="P1853" s="5"/>
    </row>
    <row r="1854" spans="2:16" s="8" customFormat="1" ht="12.75" hidden="1" customHeight="1">
      <c r="B1854" s="37"/>
      <c r="C1854" s="37"/>
      <c r="D1854" s="38"/>
      <c r="E1854" s="38"/>
      <c r="F1854" s="39"/>
      <c r="K1854" s="5"/>
      <c r="L1854" s="5"/>
      <c r="M1854" s="5"/>
      <c r="N1854" s="5"/>
      <c r="O1854" s="5"/>
      <c r="P1854" s="5"/>
    </row>
    <row r="1855" spans="2:16" s="8" customFormat="1" ht="12.75" hidden="1" customHeight="1">
      <c r="B1855" s="37"/>
      <c r="C1855" s="37"/>
      <c r="D1855" s="38"/>
      <c r="E1855" s="38"/>
      <c r="F1855" s="39"/>
      <c r="K1855" s="5"/>
      <c r="L1855" s="5"/>
      <c r="M1855" s="5"/>
      <c r="N1855" s="5"/>
      <c r="O1855" s="5"/>
      <c r="P1855" s="5"/>
    </row>
    <row r="1856" spans="2:16" s="8" customFormat="1" ht="12.75" hidden="1" customHeight="1">
      <c r="B1856" s="37"/>
      <c r="C1856" s="37"/>
      <c r="D1856" s="38"/>
      <c r="E1856" s="38"/>
      <c r="F1856" s="39"/>
      <c r="K1856" s="5"/>
      <c r="L1856" s="5"/>
      <c r="M1856" s="5"/>
      <c r="N1856" s="5"/>
      <c r="O1856" s="5"/>
      <c r="P1856" s="5"/>
    </row>
    <row r="1857" spans="2:16" s="8" customFormat="1" ht="12.75" hidden="1" customHeight="1">
      <c r="B1857" s="37"/>
      <c r="C1857" s="37"/>
      <c r="D1857" s="38"/>
      <c r="E1857" s="38"/>
      <c r="F1857" s="39"/>
      <c r="K1857" s="5"/>
      <c r="L1857" s="5"/>
      <c r="M1857" s="5"/>
      <c r="N1857" s="5"/>
      <c r="O1857" s="5"/>
      <c r="P1857" s="5"/>
    </row>
    <row r="1858" spans="2:16" s="8" customFormat="1" ht="12.75" hidden="1" customHeight="1">
      <c r="B1858" s="37"/>
      <c r="C1858" s="37"/>
      <c r="D1858" s="38"/>
      <c r="E1858" s="38"/>
      <c r="F1858" s="39"/>
      <c r="K1858" s="5"/>
      <c r="L1858" s="5"/>
      <c r="M1858" s="5"/>
      <c r="N1858" s="5"/>
      <c r="O1858" s="5"/>
      <c r="P1858" s="5"/>
    </row>
    <row r="1859" spans="2:16" s="8" customFormat="1" ht="12.75" hidden="1" customHeight="1">
      <c r="B1859" s="37"/>
      <c r="C1859" s="37"/>
      <c r="D1859" s="38"/>
      <c r="E1859" s="38"/>
      <c r="F1859" s="39"/>
      <c r="K1859" s="5"/>
      <c r="L1859" s="5"/>
      <c r="M1859" s="5"/>
      <c r="N1859" s="5"/>
      <c r="O1859" s="5"/>
      <c r="P1859" s="5"/>
    </row>
    <row r="1860" spans="2:16" s="8" customFormat="1" ht="12.75" hidden="1" customHeight="1">
      <c r="B1860" s="37"/>
      <c r="C1860" s="37"/>
      <c r="D1860" s="38"/>
      <c r="E1860" s="38"/>
      <c r="F1860" s="39"/>
      <c r="K1860" s="5"/>
      <c r="L1860" s="5"/>
      <c r="M1860" s="5"/>
      <c r="N1860" s="5"/>
      <c r="O1860" s="5"/>
      <c r="P1860" s="5"/>
    </row>
    <row r="1861" spans="2:16" s="8" customFormat="1" ht="12.75" hidden="1" customHeight="1">
      <c r="B1861" s="37"/>
      <c r="C1861" s="37"/>
      <c r="D1861" s="38"/>
      <c r="E1861" s="38"/>
      <c r="F1861" s="39"/>
      <c r="K1861" s="5"/>
      <c r="L1861" s="5"/>
      <c r="M1861" s="5"/>
      <c r="N1861" s="5"/>
      <c r="O1861" s="5"/>
      <c r="P1861" s="5"/>
    </row>
    <row r="1862" spans="2:16" s="8" customFormat="1" ht="12.75" hidden="1" customHeight="1">
      <c r="B1862" s="37"/>
      <c r="C1862" s="37"/>
      <c r="D1862" s="38"/>
      <c r="E1862" s="38"/>
      <c r="F1862" s="39"/>
      <c r="K1862" s="5"/>
      <c r="L1862" s="5"/>
      <c r="M1862" s="5"/>
      <c r="N1862" s="5"/>
      <c r="O1862" s="5"/>
      <c r="P1862" s="5"/>
    </row>
    <row r="1863" spans="2:16" s="8" customFormat="1" ht="12.75" hidden="1" customHeight="1">
      <c r="B1863" s="37"/>
      <c r="C1863" s="37"/>
      <c r="D1863" s="38"/>
      <c r="E1863" s="38"/>
      <c r="F1863" s="39"/>
      <c r="K1863" s="5"/>
      <c r="L1863" s="5"/>
      <c r="M1863" s="5"/>
      <c r="N1863" s="5"/>
      <c r="O1863" s="5"/>
      <c r="P1863" s="5"/>
    </row>
    <row r="1864" spans="2:16" s="8" customFormat="1" ht="12.75" hidden="1" customHeight="1">
      <c r="B1864" s="37"/>
      <c r="C1864" s="37"/>
      <c r="D1864" s="38"/>
      <c r="E1864" s="38"/>
      <c r="F1864" s="39"/>
      <c r="K1864" s="5"/>
      <c r="L1864" s="5"/>
      <c r="M1864" s="5"/>
      <c r="N1864" s="5"/>
      <c r="O1864" s="5"/>
      <c r="P1864" s="5"/>
    </row>
    <row r="1865" spans="2:16" s="8" customFormat="1" ht="12.75" hidden="1" customHeight="1">
      <c r="B1865" s="37"/>
      <c r="C1865" s="37"/>
      <c r="D1865" s="38"/>
      <c r="E1865" s="38"/>
      <c r="F1865" s="39"/>
      <c r="K1865" s="5"/>
      <c r="L1865" s="5"/>
      <c r="M1865" s="5"/>
      <c r="N1865" s="5"/>
      <c r="O1865" s="5"/>
      <c r="P1865" s="5"/>
    </row>
    <row r="1866" spans="2:16" s="8" customFormat="1" ht="12.75" hidden="1" customHeight="1">
      <c r="B1866" s="37"/>
      <c r="C1866" s="37"/>
      <c r="D1866" s="38"/>
      <c r="E1866" s="38"/>
      <c r="F1866" s="39"/>
      <c r="K1866" s="5"/>
      <c r="L1866" s="5"/>
      <c r="M1866" s="5"/>
      <c r="N1866" s="5"/>
      <c r="O1866" s="5"/>
      <c r="P1866" s="5"/>
    </row>
    <row r="1867" spans="2:16" s="8" customFormat="1" ht="12.75" hidden="1" customHeight="1">
      <c r="B1867" s="37"/>
      <c r="C1867" s="37"/>
      <c r="D1867" s="38"/>
      <c r="E1867" s="38"/>
      <c r="F1867" s="39"/>
      <c r="K1867" s="5"/>
      <c r="L1867" s="5"/>
      <c r="M1867" s="5"/>
      <c r="N1867" s="5"/>
      <c r="O1867" s="5"/>
      <c r="P1867" s="5"/>
    </row>
    <row r="1868" spans="2:16" s="8" customFormat="1" ht="12.75" hidden="1" customHeight="1">
      <c r="B1868" s="37"/>
      <c r="C1868" s="37"/>
      <c r="D1868" s="38"/>
      <c r="E1868" s="38"/>
      <c r="F1868" s="39"/>
      <c r="K1868" s="5"/>
      <c r="L1868" s="5"/>
      <c r="M1868" s="5"/>
      <c r="N1868" s="5"/>
      <c r="O1868" s="5"/>
      <c r="P1868" s="5"/>
    </row>
    <row r="1869" spans="2:16" s="8" customFormat="1" ht="12.75" hidden="1" customHeight="1">
      <c r="B1869" s="37"/>
      <c r="C1869" s="37"/>
      <c r="D1869" s="38"/>
      <c r="E1869" s="38"/>
      <c r="F1869" s="39"/>
      <c r="K1869" s="5"/>
      <c r="L1869" s="5"/>
      <c r="M1869" s="5"/>
      <c r="N1869" s="5"/>
      <c r="O1869" s="5"/>
      <c r="P1869" s="5"/>
    </row>
    <row r="1870" spans="2:16" s="8" customFormat="1" ht="12.75" hidden="1" customHeight="1">
      <c r="B1870" s="37"/>
      <c r="C1870" s="37"/>
      <c r="D1870" s="38"/>
      <c r="E1870" s="38"/>
      <c r="F1870" s="39"/>
      <c r="K1870" s="5"/>
      <c r="L1870" s="5"/>
      <c r="M1870" s="5"/>
      <c r="N1870" s="5"/>
      <c r="O1870" s="5"/>
      <c r="P1870" s="5"/>
    </row>
    <row r="1871" spans="2:16" s="8" customFormat="1" ht="12.75" hidden="1" customHeight="1">
      <c r="B1871" s="37"/>
      <c r="C1871" s="37"/>
      <c r="D1871" s="38"/>
      <c r="E1871" s="38"/>
      <c r="F1871" s="39"/>
      <c r="K1871" s="5"/>
      <c r="L1871" s="5"/>
      <c r="M1871" s="5"/>
      <c r="N1871" s="5"/>
      <c r="O1871" s="5"/>
      <c r="P1871" s="5"/>
    </row>
    <row r="1872" spans="2:16" s="8" customFormat="1" ht="12.75" hidden="1" customHeight="1">
      <c r="B1872" s="37"/>
      <c r="C1872" s="37"/>
      <c r="D1872" s="38"/>
      <c r="E1872" s="38"/>
      <c r="F1872" s="39"/>
      <c r="K1872" s="5"/>
      <c r="L1872" s="5"/>
      <c r="M1872" s="5"/>
      <c r="N1872" s="5"/>
      <c r="O1872" s="5"/>
      <c r="P1872" s="5"/>
    </row>
    <row r="1873" spans="2:16" s="8" customFormat="1" ht="12.75" hidden="1" customHeight="1">
      <c r="B1873" s="37"/>
      <c r="C1873" s="37"/>
      <c r="D1873" s="38"/>
      <c r="E1873" s="38"/>
      <c r="F1873" s="39"/>
      <c r="K1873" s="5"/>
      <c r="L1873" s="5"/>
      <c r="M1873" s="5"/>
      <c r="N1873" s="5"/>
      <c r="O1873" s="5"/>
      <c r="P1873" s="5"/>
    </row>
    <row r="1874" spans="2:16" s="8" customFormat="1" ht="12.75" hidden="1" customHeight="1">
      <c r="B1874" s="37"/>
      <c r="C1874" s="37"/>
      <c r="D1874" s="38"/>
      <c r="E1874" s="38"/>
      <c r="F1874" s="39"/>
      <c r="K1874" s="5"/>
      <c r="L1874" s="5"/>
      <c r="M1874" s="5"/>
      <c r="N1874" s="5"/>
      <c r="O1874" s="5"/>
      <c r="P1874" s="5"/>
    </row>
    <row r="1875" spans="2:16" s="8" customFormat="1" ht="12.75" hidden="1" customHeight="1">
      <c r="B1875" s="37"/>
      <c r="C1875" s="37"/>
      <c r="D1875" s="38"/>
      <c r="E1875" s="38"/>
      <c r="F1875" s="39"/>
      <c r="K1875" s="5"/>
      <c r="L1875" s="5"/>
      <c r="M1875" s="5"/>
      <c r="N1875" s="5"/>
      <c r="O1875" s="5"/>
      <c r="P1875" s="5"/>
    </row>
    <row r="1876" spans="2:16" s="8" customFormat="1" ht="12.75" hidden="1" customHeight="1">
      <c r="B1876" s="37"/>
      <c r="C1876" s="37"/>
      <c r="D1876" s="38"/>
      <c r="E1876" s="38"/>
      <c r="F1876" s="39"/>
      <c r="K1876" s="5"/>
      <c r="L1876" s="5"/>
      <c r="M1876" s="5"/>
      <c r="N1876" s="5"/>
      <c r="O1876" s="5"/>
      <c r="P1876" s="5"/>
    </row>
    <row r="1877" spans="2:16" s="8" customFormat="1" ht="12.75" hidden="1" customHeight="1">
      <c r="B1877" s="37"/>
      <c r="C1877" s="37"/>
      <c r="D1877" s="38"/>
      <c r="E1877" s="38"/>
      <c r="F1877" s="39"/>
      <c r="K1877" s="5"/>
      <c r="L1877" s="5"/>
      <c r="M1877" s="5"/>
      <c r="N1877" s="5"/>
      <c r="O1877" s="5"/>
      <c r="P1877" s="5"/>
    </row>
    <row r="1878" spans="2:16" s="8" customFormat="1" ht="12.75" hidden="1" customHeight="1">
      <c r="B1878" s="37"/>
      <c r="C1878" s="37"/>
      <c r="D1878" s="38"/>
      <c r="E1878" s="38"/>
      <c r="F1878" s="39"/>
      <c r="K1878" s="5"/>
      <c r="L1878" s="5"/>
      <c r="M1878" s="5"/>
      <c r="N1878" s="5"/>
      <c r="O1878" s="5"/>
      <c r="P1878" s="5"/>
    </row>
    <row r="1879" spans="2:16" s="8" customFormat="1" ht="12.75" hidden="1" customHeight="1">
      <c r="B1879" s="37"/>
      <c r="C1879" s="37"/>
      <c r="D1879" s="38"/>
      <c r="E1879" s="38"/>
      <c r="F1879" s="39"/>
      <c r="K1879" s="5"/>
      <c r="L1879" s="5"/>
      <c r="M1879" s="5"/>
      <c r="N1879" s="5"/>
      <c r="O1879" s="5"/>
      <c r="P1879" s="5"/>
    </row>
    <row r="1880" spans="2:16" s="8" customFormat="1" ht="12.75" hidden="1" customHeight="1">
      <c r="B1880" s="37"/>
      <c r="C1880" s="37"/>
      <c r="D1880" s="38"/>
      <c r="E1880" s="38"/>
      <c r="F1880" s="39"/>
      <c r="K1880" s="5"/>
      <c r="L1880" s="5"/>
      <c r="M1880" s="5"/>
      <c r="N1880" s="5"/>
      <c r="O1880" s="5"/>
      <c r="P1880" s="5"/>
    </row>
    <row r="1881" spans="2:16" s="8" customFormat="1" ht="12.75" hidden="1" customHeight="1">
      <c r="B1881" s="37"/>
      <c r="C1881" s="37"/>
      <c r="D1881" s="38"/>
      <c r="E1881" s="38"/>
      <c r="F1881" s="39"/>
      <c r="K1881" s="5"/>
      <c r="L1881" s="5"/>
      <c r="M1881" s="5"/>
      <c r="N1881" s="5"/>
      <c r="O1881" s="5"/>
      <c r="P1881" s="5"/>
    </row>
    <row r="1882" spans="2:16" s="8" customFormat="1" ht="12.75" hidden="1" customHeight="1">
      <c r="B1882" s="37"/>
      <c r="C1882" s="37"/>
      <c r="D1882" s="38"/>
      <c r="E1882" s="38"/>
      <c r="F1882" s="39"/>
      <c r="K1882" s="5"/>
      <c r="L1882" s="5"/>
      <c r="M1882" s="5"/>
      <c r="N1882" s="5"/>
      <c r="O1882" s="5"/>
      <c r="P1882" s="5"/>
    </row>
    <row r="1883" spans="2:16" s="8" customFormat="1" ht="12.75" hidden="1" customHeight="1">
      <c r="B1883" s="37"/>
      <c r="C1883" s="37"/>
      <c r="D1883" s="38"/>
      <c r="E1883" s="38"/>
      <c r="F1883" s="39"/>
      <c r="K1883" s="5"/>
      <c r="L1883" s="5"/>
      <c r="M1883" s="5"/>
      <c r="N1883" s="5"/>
      <c r="O1883" s="5"/>
      <c r="P1883" s="5"/>
    </row>
    <row r="1884" spans="2:16" s="8" customFormat="1" ht="12.75" hidden="1" customHeight="1">
      <c r="B1884" s="37"/>
      <c r="C1884" s="37"/>
      <c r="D1884" s="38"/>
      <c r="E1884" s="38"/>
      <c r="F1884" s="39"/>
      <c r="K1884" s="5"/>
      <c r="L1884" s="5"/>
      <c r="M1884" s="5"/>
      <c r="N1884" s="5"/>
      <c r="O1884" s="5"/>
      <c r="P1884" s="5"/>
    </row>
    <row r="1885" spans="2:16" s="8" customFormat="1" ht="12.75" hidden="1" customHeight="1">
      <c r="B1885" s="37"/>
      <c r="C1885" s="37"/>
      <c r="D1885" s="38"/>
      <c r="E1885" s="38"/>
      <c r="F1885" s="39"/>
      <c r="K1885" s="5"/>
      <c r="L1885" s="5"/>
      <c r="M1885" s="5"/>
      <c r="N1885" s="5"/>
      <c r="O1885" s="5"/>
      <c r="P1885" s="5"/>
    </row>
    <row r="1886" spans="2:16" s="8" customFormat="1" ht="12.75" hidden="1" customHeight="1">
      <c r="B1886" s="37"/>
      <c r="C1886" s="37"/>
      <c r="D1886" s="38"/>
      <c r="E1886" s="38"/>
      <c r="F1886" s="39"/>
      <c r="K1886" s="5"/>
      <c r="L1886" s="5"/>
      <c r="M1886" s="5"/>
      <c r="N1886" s="5"/>
      <c r="O1886" s="5"/>
      <c r="P1886" s="5"/>
    </row>
    <row r="1887" spans="2:16" s="8" customFormat="1" ht="12.75" hidden="1" customHeight="1">
      <c r="B1887" s="37"/>
      <c r="C1887" s="37"/>
      <c r="D1887" s="38"/>
      <c r="E1887" s="38"/>
      <c r="F1887" s="39"/>
      <c r="K1887" s="5"/>
      <c r="L1887" s="5"/>
      <c r="M1887" s="5"/>
      <c r="N1887" s="5"/>
      <c r="O1887" s="5"/>
      <c r="P1887" s="5"/>
    </row>
    <row r="1888" spans="2:16" s="8" customFormat="1" ht="12.75" hidden="1" customHeight="1">
      <c r="B1888" s="37"/>
      <c r="C1888" s="37"/>
      <c r="D1888" s="38"/>
      <c r="E1888" s="38"/>
      <c r="F1888" s="39"/>
      <c r="K1888" s="5"/>
      <c r="L1888" s="5"/>
      <c r="M1888" s="5"/>
      <c r="N1888" s="5"/>
      <c r="O1888" s="5"/>
      <c r="P1888" s="5"/>
    </row>
    <row r="1889" spans="2:16" s="8" customFormat="1" ht="12.75" hidden="1" customHeight="1">
      <c r="B1889" s="37"/>
      <c r="C1889" s="37"/>
      <c r="D1889" s="38"/>
      <c r="E1889" s="38"/>
      <c r="F1889" s="39"/>
      <c r="K1889" s="5"/>
      <c r="L1889" s="5"/>
      <c r="M1889" s="5"/>
      <c r="N1889" s="5"/>
      <c r="O1889" s="5"/>
      <c r="P1889" s="5"/>
    </row>
    <row r="1890" spans="2:16" s="8" customFormat="1" ht="12.75" hidden="1" customHeight="1">
      <c r="B1890" s="37"/>
      <c r="C1890" s="37"/>
      <c r="D1890" s="38"/>
      <c r="E1890" s="38"/>
      <c r="F1890" s="39"/>
      <c r="K1890" s="5"/>
      <c r="L1890" s="5"/>
      <c r="M1890" s="5"/>
      <c r="N1890" s="5"/>
      <c r="O1890" s="5"/>
      <c r="P1890" s="5"/>
    </row>
    <row r="1891" spans="2:16" s="8" customFormat="1" ht="12.75" hidden="1" customHeight="1">
      <c r="B1891" s="37"/>
      <c r="C1891" s="37"/>
      <c r="D1891" s="38"/>
      <c r="E1891" s="38"/>
      <c r="F1891" s="39"/>
      <c r="K1891" s="5"/>
      <c r="L1891" s="5"/>
      <c r="M1891" s="5"/>
      <c r="N1891" s="5"/>
      <c r="O1891" s="5"/>
      <c r="P1891" s="5"/>
    </row>
    <row r="1892" spans="2:16" s="8" customFormat="1" ht="12.75" hidden="1" customHeight="1">
      <c r="B1892" s="37"/>
      <c r="C1892" s="37"/>
      <c r="D1892" s="38"/>
      <c r="E1892" s="38"/>
      <c r="F1892" s="39"/>
      <c r="K1892" s="5"/>
      <c r="L1892" s="5"/>
      <c r="M1892" s="5"/>
      <c r="N1892" s="5"/>
      <c r="O1892" s="5"/>
      <c r="P1892" s="5"/>
    </row>
    <row r="1893" spans="2:16" s="8" customFormat="1" ht="12.75" hidden="1" customHeight="1">
      <c r="B1893" s="37"/>
      <c r="C1893" s="37"/>
      <c r="D1893" s="38"/>
      <c r="E1893" s="38"/>
      <c r="F1893" s="39"/>
      <c r="K1893" s="5"/>
      <c r="L1893" s="5"/>
      <c r="M1893" s="5"/>
      <c r="N1893" s="5"/>
      <c r="O1893" s="5"/>
      <c r="P1893" s="5"/>
    </row>
    <row r="1894" spans="2:16" s="8" customFormat="1" ht="12.75" hidden="1" customHeight="1">
      <c r="B1894" s="37"/>
      <c r="C1894" s="37"/>
      <c r="D1894" s="38"/>
      <c r="E1894" s="38"/>
      <c r="F1894" s="39"/>
      <c r="K1894" s="5"/>
      <c r="L1894" s="5"/>
      <c r="M1894" s="5"/>
      <c r="N1894" s="5"/>
      <c r="O1894" s="5"/>
      <c r="P1894" s="5"/>
    </row>
    <row r="1895" spans="2:16" s="8" customFormat="1" ht="12.75" hidden="1" customHeight="1">
      <c r="B1895" s="37"/>
      <c r="C1895" s="37"/>
      <c r="D1895" s="38"/>
      <c r="E1895" s="38"/>
      <c r="F1895" s="39"/>
      <c r="K1895" s="5"/>
      <c r="L1895" s="5"/>
      <c r="M1895" s="5"/>
      <c r="N1895" s="5"/>
      <c r="O1895" s="5"/>
      <c r="P1895" s="5"/>
    </row>
    <row r="1896" spans="2:16" s="8" customFormat="1" ht="12.75" hidden="1" customHeight="1">
      <c r="B1896" s="37"/>
      <c r="C1896" s="37"/>
      <c r="D1896" s="38"/>
      <c r="E1896" s="38"/>
      <c r="F1896" s="39"/>
      <c r="K1896" s="5"/>
      <c r="L1896" s="5"/>
      <c r="M1896" s="5"/>
      <c r="N1896" s="5"/>
      <c r="O1896" s="5"/>
      <c r="P1896" s="5"/>
    </row>
    <row r="1897" spans="2:16" s="8" customFormat="1" ht="12.75" hidden="1" customHeight="1">
      <c r="B1897" s="37"/>
      <c r="C1897" s="37"/>
      <c r="D1897" s="38"/>
      <c r="E1897" s="38"/>
      <c r="F1897" s="39"/>
      <c r="K1897" s="5"/>
      <c r="L1897" s="5"/>
      <c r="M1897" s="5"/>
      <c r="N1897" s="5"/>
      <c r="O1897" s="5"/>
      <c r="P1897" s="5"/>
    </row>
    <row r="1898" spans="2:16" s="8" customFormat="1" ht="12.75" hidden="1" customHeight="1">
      <c r="B1898" s="37"/>
      <c r="C1898" s="37"/>
      <c r="D1898" s="38"/>
      <c r="E1898" s="38"/>
      <c r="F1898" s="39"/>
      <c r="K1898" s="5"/>
      <c r="L1898" s="5"/>
      <c r="M1898" s="5"/>
      <c r="N1898" s="5"/>
      <c r="O1898" s="5"/>
      <c r="P1898" s="5"/>
    </row>
    <row r="1899" spans="2:16" s="8" customFormat="1" ht="12.75" hidden="1" customHeight="1">
      <c r="B1899" s="37"/>
      <c r="C1899" s="37"/>
      <c r="D1899" s="38"/>
      <c r="E1899" s="38"/>
      <c r="F1899" s="39"/>
      <c r="K1899" s="5"/>
      <c r="L1899" s="5"/>
      <c r="M1899" s="5"/>
      <c r="N1899" s="5"/>
      <c r="O1899" s="5"/>
      <c r="P1899" s="5"/>
    </row>
    <row r="1900" spans="2:16" s="8" customFormat="1" ht="12.75" hidden="1" customHeight="1">
      <c r="B1900" s="37"/>
      <c r="C1900" s="37"/>
      <c r="D1900" s="38"/>
      <c r="E1900" s="38"/>
      <c r="F1900" s="39"/>
      <c r="K1900" s="5"/>
      <c r="L1900" s="5"/>
      <c r="M1900" s="5"/>
      <c r="N1900" s="5"/>
      <c r="O1900" s="5"/>
      <c r="P1900" s="5"/>
    </row>
    <row r="1901" spans="2:16" s="8" customFormat="1" ht="12.75" hidden="1" customHeight="1">
      <c r="B1901" s="37"/>
      <c r="C1901" s="37"/>
      <c r="D1901" s="38"/>
      <c r="E1901" s="38"/>
      <c r="F1901" s="39"/>
      <c r="K1901" s="5"/>
      <c r="L1901" s="5"/>
      <c r="M1901" s="5"/>
      <c r="N1901" s="5"/>
      <c r="O1901" s="5"/>
      <c r="P1901" s="5"/>
    </row>
    <row r="1902" spans="2:16" s="8" customFormat="1" ht="12.75" hidden="1" customHeight="1">
      <c r="B1902" s="37"/>
      <c r="C1902" s="37"/>
      <c r="D1902" s="38"/>
      <c r="E1902" s="38"/>
      <c r="F1902" s="39"/>
      <c r="K1902" s="5"/>
      <c r="L1902" s="5"/>
      <c r="M1902" s="5"/>
      <c r="N1902" s="5"/>
      <c r="O1902" s="5"/>
      <c r="P1902" s="5"/>
    </row>
    <row r="1903" spans="2:16" s="8" customFormat="1" ht="12.75" hidden="1" customHeight="1">
      <c r="B1903" s="37"/>
      <c r="C1903" s="37"/>
      <c r="D1903" s="38"/>
      <c r="E1903" s="38"/>
      <c r="F1903" s="39"/>
      <c r="K1903" s="5"/>
      <c r="L1903" s="5"/>
      <c r="M1903" s="5"/>
      <c r="N1903" s="5"/>
      <c r="O1903" s="5"/>
      <c r="P1903" s="5"/>
    </row>
    <row r="1904" spans="2:16" s="8" customFormat="1" ht="12.75" hidden="1" customHeight="1">
      <c r="B1904" s="37"/>
      <c r="C1904" s="37"/>
      <c r="D1904" s="38"/>
      <c r="E1904" s="38"/>
      <c r="F1904" s="39"/>
      <c r="K1904" s="5"/>
      <c r="L1904" s="5"/>
      <c r="M1904" s="5"/>
      <c r="N1904" s="5"/>
      <c r="O1904" s="5"/>
      <c r="P1904" s="5"/>
    </row>
    <row r="1905" spans="2:16" s="8" customFormat="1" ht="12.75" hidden="1" customHeight="1">
      <c r="B1905" s="37"/>
      <c r="C1905" s="37"/>
      <c r="D1905" s="38"/>
      <c r="E1905" s="38"/>
      <c r="F1905" s="39"/>
      <c r="K1905" s="5"/>
      <c r="L1905" s="5"/>
      <c r="M1905" s="5"/>
      <c r="N1905" s="5"/>
      <c r="O1905" s="5"/>
      <c r="P1905" s="5"/>
    </row>
    <row r="1906" spans="2:16" s="8" customFormat="1" ht="12.75" hidden="1" customHeight="1">
      <c r="B1906" s="37"/>
      <c r="C1906" s="37"/>
      <c r="D1906" s="38"/>
      <c r="E1906" s="38"/>
      <c r="F1906" s="39"/>
      <c r="K1906" s="5"/>
      <c r="L1906" s="5"/>
      <c r="M1906" s="5"/>
      <c r="N1906" s="5"/>
      <c r="O1906" s="5"/>
      <c r="P1906" s="5"/>
    </row>
    <row r="1907" spans="2:16" s="8" customFormat="1" ht="12.75" hidden="1" customHeight="1">
      <c r="B1907" s="37"/>
      <c r="C1907" s="37"/>
      <c r="D1907" s="38"/>
      <c r="E1907" s="38"/>
      <c r="F1907" s="39"/>
      <c r="K1907" s="5"/>
      <c r="L1907" s="5"/>
      <c r="M1907" s="5"/>
      <c r="N1907" s="5"/>
      <c r="O1907" s="5"/>
      <c r="P1907" s="5"/>
    </row>
    <row r="1908" spans="2:16" s="8" customFormat="1" ht="12.75" hidden="1" customHeight="1">
      <c r="B1908" s="37"/>
      <c r="C1908" s="37"/>
      <c r="D1908" s="38"/>
      <c r="E1908" s="38"/>
      <c r="F1908" s="39"/>
      <c r="K1908" s="5"/>
      <c r="L1908" s="5"/>
      <c r="M1908" s="5"/>
      <c r="N1908" s="5"/>
      <c r="O1908" s="5"/>
      <c r="P1908" s="5"/>
    </row>
    <row r="1909" spans="2:16" s="8" customFormat="1" ht="12.75" hidden="1" customHeight="1">
      <c r="B1909" s="37"/>
      <c r="C1909" s="37"/>
      <c r="D1909" s="38"/>
      <c r="E1909" s="38"/>
      <c r="F1909" s="39"/>
      <c r="K1909" s="5"/>
      <c r="L1909" s="5"/>
      <c r="M1909" s="5"/>
      <c r="N1909" s="5"/>
      <c r="O1909" s="5"/>
      <c r="P1909" s="5"/>
    </row>
    <row r="1910" spans="2:16" s="8" customFormat="1" ht="12.75" hidden="1" customHeight="1">
      <c r="B1910" s="37"/>
      <c r="C1910" s="37"/>
      <c r="D1910" s="38"/>
      <c r="E1910" s="38"/>
      <c r="F1910" s="39"/>
      <c r="K1910" s="5"/>
      <c r="L1910" s="5"/>
      <c r="M1910" s="5"/>
      <c r="N1910" s="5"/>
      <c r="O1910" s="5"/>
      <c r="P1910" s="5"/>
    </row>
    <row r="1911" spans="2:16" s="8" customFormat="1" ht="12.75" hidden="1" customHeight="1">
      <c r="B1911" s="37"/>
      <c r="C1911" s="37"/>
      <c r="D1911" s="38"/>
      <c r="E1911" s="38"/>
      <c r="F1911" s="39"/>
      <c r="K1911" s="5"/>
      <c r="L1911" s="5"/>
      <c r="M1911" s="5"/>
      <c r="N1911" s="5"/>
      <c r="O1911" s="5"/>
      <c r="P1911" s="5"/>
    </row>
    <row r="1912" spans="2:16" s="8" customFormat="1" ht="12.75" hidden="1" customHeight="1">
      <c r="B1912" s="37"/>
      <c r="C1912" s="37"/>
      <c r="D1912" s="38"/>
      <c r="E1912" s="38"/>
      <c r="F1912" s="39"/>
      <c r="K1912" s="5"/>
      <c r="L1912" s="5"/>
      <c r="M1912" s="5"/>
      <c r="N1912" s="5"/>
      <c r="O1912" s="5"/>
      <c r="P1912" s="5"/>
    </row>
    <row r="1913" spans="2:16" s="8" customFormat="1" ht="12.75" hidden="1" customHeight="1">
      <c r="B1913" s="37"/>
      <c r="C1913" s="37"/>
      <c r="D1913" s="38"/>
      <c r="E1913" s="38"/>
      <c r="F1913" s="39"/>
      <c r="K1913" s="5"/>
      <c r="L1913" s="5"/>
      <c r="M1913" s="5"/>
      <c r="N1913" s="5"/>
      <c r="O1913" s="5"/>
      <c r="P1913" s="5"/>
    </row>
    <row r="1914" spans="2:16" s="8" customFormat="1" ht="12.75" hidden="1" customHeight="1">
      <c r="B1914" s="37"/>
      <c r="C1914" s="37"/>
      <c r="D1914" s="38"/>
      <c r="E1914" s="38"/>
      <c r="F1914" s="39"/>
      <c r="K1914" s="5"/>
      <c r="L1914" s="5"/>
      <c r="M1914" s="5"/>
      <c r="N1914" s="5"/>
      <c r="O1914" s="5"/>
      <c r="P1914" s="5"/>
    </row>
    <row r="1915" spans="2:16" s="8" customFormat="1" ht="12.75" hidden="1" customHeight="1">
      <c r="B1915" s="37"/>
      <c r="C1915" s="37"/>
      <c r="D1915" s="38"/>
      <c r="E1915" s="38"/>
      <c r="F1915" s="39"/>
      <c r="K1915" s="5"/>
      <c r="L1915" s="5"/>
      <c r="M1915" s="5"/>
      <c r="N1915" s="5"/>
      <c r="O1915" s="5"/>
      <c r="P1915" s="5"/>
    </row>
    <row r="1916" spans="2:16" s="8" customFormat="1" ht="12.75" hidden="1" customHeight="1">
      <c r="B1916" s="37"/>
      <c r="C1916" s="37"/>
      <c r="D1916" s="38"/>
      <c r="E1916" s="38"/>
      <c r="F1916" s="39"/>
      <c r="K1916" s="5"/>
      <c r="L1916" s="5"/>
      <c r="M1916" s="5"/>
      <c r="N1916" s="5"/>
      <c r="O1916" s="5"/>
      <c r="P1916" s="5"/>
    </row>
    <row r="1917" spans="2:16" s="8" customFormat="1" ht="12.75" hidden="1" customHeight="1">
      <c r="B1917" s="37"/>
      <c r="C1917" s="37"/>
      <c r="D1917" s="38"/>
      <c r="E1917" s="38"/>
      <c r="F1917" s="39"/>
      <c r="K1917" s="5"/>
      <c r="L1917" s="5"/>
      <c r="M1917" s="5"/>
      <c r="N1917" s="5"/>
      <c r="O1917" s="5"/>
      <c r="P1917" s="5"/>
    </row>
    <row r="1918" spans="2:16" s="8" customFormat="1" ht="12.75" hidden="1" customHeight="1">
      <c r="B1918" s="37"/>
      <c r="C1918" s="37"/>
      <c r="D1918" s="38"/>
      <c r="E1918" s="38"/>
      <c r="F1918" s="39"/>
      <c r="K1918" s="5"/>
      <c r="L1918" s="5"/>
      <c r="M1918" s="5"/>
      <c r="N1918" s="5"/>
      <c r="O1918" s="5"/>
      <c r="P1918" s="5"/>
    </row>
    <row r="1919" spans="2:16" s="8" customFormat="1" ht="12.75" hidden="1" customHeight="1">
      <c r="B1919" s="37"/>
      <c r="C1919" s="37"/>
      <c r="D1919" s="38"/>
      <c r="E1919" s="38"/>
      <c r="F1919" s="39"/>
      <c r="K1919" s="5"/>
      <c r="L1919" s="5"/>
      <c r="M1919" s="5"/>
      <c r="N1919" s="5"/>
      <c r="O1919" s="5"/>
      <c r="P1919" s="5"/>
    </row>
    <row r="1920" spans="2:16" s="8" customFormat="1" ht="12.75" hidden="1" customHeight="1">
      <c r="B1920" s="37"/>
      <c r="C1920" s="37"/>
      <c r="D1920" s="38"/>
      <c r="E1920" s="38"/>
      <c r="F1920" s="39"/>
      <c r="K1920" s="5"/>
      <c r="L1920" s="5"/>
      <c r="M1920" s="5"/>
      <c r="N1920" s="5"/>
      <c r="O1920" s="5"/>
      <c r="P1920" s="5"/>
    </row>
    <row r="1921" spans="2:16" s="8" customFormat="1" ht="12.75" hidden="1" customHeight="1">
      <c r="B1921" s="37"/>
      <c r="C1921" s="37"/>
      <c r="D1921" s="38"/>
      <c r="E1921" s="38"/>
      <c r="F1921" s="39"/>
      <c r="K1921" s="5"/>
      <c r="L1921" s="5"/>
      <c r="M1921" s="5"/>
      <c r="N1921" s="5"/>
      <c r="O1921" s="5"/>
      <c r="P1921" s="5"/>
    </row>
    <row r="1922" spans="2:16" s="8" customFormat="1" ht="12.75" hidden="1" customHeight="1">
      <c r="B1922" s="37"/>
      <c r="C1922" s="37"/>
      <c r="D1922" s="38"/>
      <c r="E1922" s="38"/>
      <c r="F1922" s="39"/>
      <c r="K1922" s="5"/>
      <c r="L1922" s="5"/>
      <c r="M1922" s="5"/>
      <c r="N1922" s="5"/>
      <c r="O1922" s="5"/>
      <c r="P1922" s="5"/>
    </row>
    <row r="1923" spans="2:16" s="8" customFormat="1" ht="12.75" hidden="1" customHeight="1">
      <c r="B1923" s="37"/>
      <c r="C1923" s="37"/>
      <c r="D1923" s="38"/>
      <c r="E1923" s="38"/>
      <c r="F1923" s="39"/>
      <c r="K1923" s="5"/>
      <c r="L1923" s="5"/>
      <c r="M1923" s="5"/>
      <c r="N1923" s="5"/>
      <c r="O1923" s="5"/>
      <c r="P1923" s="5"/>
    </row>
    <row r="1924" spans="2:16" s="8" customFormat="1" ht="12.75" hidden="1" customHeight="1">
      <c r="B1924" s="37"/>
      <c r="C1924" s="37"/>
      <c r="D1924" s="38"/>
      <c r="E1924" s="38"/>
      <c r="F1924" s="39"/>
      <c r="K1924" s="5"/>
      <c r="L1924" s="5"/>
      <c r="M1924" s="5"/>
      <c r="N1924" s="5"/>
      <c r="O1924" s="5"/>
      <c r="P1924" s="5"/>
    </row>
    <row r="1925" spans="2:16" s="8" customFormat="1" ht="12.75" hidden="1" customHeight="1">
      <c r="B1925" s="37"/>
      <c r="C1925" s="37"/>
      <c r="D1925" s="38"/>
      <c r="E1925" s="38"/>
      <c r="F1925" s="39"/>
      <c r="K1925" s="5"/>
      <c r="L1925" s="5"/>
      <c r="M1925" s="5"/>
      <c r="N1925" s="5"/>
      <c r="O1925" s="5"/>
      <c r="P1925" s="5"/>
    </row>
    <row r="1926" spans="2:16" s="8" customFormat="1" ht="12.75" hidden="1" customHeight="1">
      <c r="B1926" s="37"/>
      <c r="C1926" s="37"/>
      <c r="D1926" s="38"/>
      <c r="E1926" s="38"/>
      <c r="F1926" s="39"/>
      <c r="K1926" s="5"/>
      <c r="L1926" s="5"/>
      <c r="M1926" s="5"/>
      <c r="N1926" s="5"/>
      <c r="O1926" s="5"/>
      <c r="P1926" s="5"/>
    </row>
    <row r="1927" spans="2:16" s="8" customFormat="1" ht="12.75" hidden="1" customHeight="1">
      <c r="B1927" s="37"/>
      <c r="C1927" s="37"/>
      <c r="D1927" s="38"/>
      <c r="E1927" s="38"/>
      <c r="F1927" s="39"/>
      <c r="K1927" s="5"/>
      <c r="L1927" s="5"/>
      <c r="M1927" s="5"/>
      <c r="N1927" s="5"/>
      <c r="O1927" s="5"/>
      <c r="P1927" s="5"/>
    </row>
    <row r="1928" spans="2:16" s="8" customFormat="1" ht="12.75" hidden="1" customHeight="1">
      <c r="B1928" s="37"/>
      <c r="C1928" s="37"/>
      <c r="D1928" s="38"/>
      <c r="E1928" s="38"/>
      <c r="F1928" s="39"/>
      <c r="K1928" s="5"/>
      <c r="L1928" s="5"/>
      <c r="M1928" s="5"/>
      <c r="N1928" s="5"/>
      <c r="O1928" s="5"/>
      <c r="P1928" s="5"/>
    </row>
    <row r="1929" spans="2:16" s="8" customFormat="1" ht="12.75" hidden="1" customHeight="1">
      <c r="B1929" s="37"/>
      <c r="C1929" s="37"/>
      <c r="D1929" s="38"/>
      <c r="E1929" s="38"/>
      <c r="F1929" s="39"/>
      <c r="K1929" s="5"/>
      <c r="L1929" s="5"/>
      <c r="M1929" s="5"/>
      <c r="N1929" s="5"/>
      <c r="O1929" s="5"/>
      <c r="P1929" s="5"/>
    </row>
    <row r="1930" spans="2:16" s="8" customFormat="1" ht="12.75" hidden="1" customHeight="1">
      <c r="B1930" s="37"/>
      <c r="C1930" s="37"/>
      <c r="D1930" s="38"/>
      <c r="E1930" s="38"/>
      <c r="F1930" s="39"/>
      <c r="K1930" s="5"/>
      <c r="L1930" s="5"/>
      <c r="M1930" s="5"/>
      <c r="N1930" s="5"/>
      <c r="O1930" s="5"/>
      <c r="P1930" s="5"/>
    </row>
    <row r="1931" spans="2:16" s="8" customFormat="1" ht="12.75" hidden="1" customHeight="1">
      <c r="B1931" s="37"/>
      <c r="C1931" s="37"/>
      <c r="D1931" s="38"/>
      <c r="E1931" s="38"/>
      <c r="F1931" s="39"/>
      <c r="K1931" s="5"/>
      <c r="L1931" s="5"/>
      <c r="M1931" s="5"/>
      <c r="N1931" s="5"/>
      <c r="O1931" s="5"/>
      <c r="P1931" s="5"/>
    </row>
    <row r="1932" spans="2:16" s="8" customFormat="1" ht="12.75" hidden="1" customHeight="1">
      <c r="B1932" s="37"/>
      <c r="C1932" s="37"/>
      <c r="D1932" s="38"/>
      <c r="E1932" s="38"/>
      <c r="F1932" s="39"/>
      <c r="K1932" s="5"/>
      <c r="L1932" s="5"/>
      <c r="M1932" s="5"/>
      <c r="N1932" s="5"/>
      <c r="O1932" s="5"/>
      <c r="P1932" s="5"/>
    </row>
    <row r="1933" spans="2:16" s="8" customFormat="1" ht="12.75" hidden="1" customHeight="1">
      <c r="B1933" s="37"/>
      <c r="C1933" s="37"/>
      <c r="D1933" s="38"/>
      <c r="E1933" s="38"/>
      <c r="F1933" s="39"/>
      <c r="K1933" s="5"/>
      <c r="L1933" s="5"/>
      <c r="M1933" s="5"/>
      <c r="N1933" s="5"/>
      <c r="O1933" s="5"/>
      <c r="P1933" s="5"/>
    </row>
    <row r="1934" spans="2:16" s="8" customFormat="1" ht="12.75" hidden="1" customHeight="1">
      <c r="B1934" s="37"/>
      <c r="C1934" s="37"/>
      <c r="D1934" s="38"/>
      <c r="E1934" s="38"/>
      <c r="F1934" s="39"/>
      <c r="K1934" s="5"/>
      <c r="L1934" s="5"/>
      <c r="M1934" s="5"/>
      <c r="N1934" s="5"/>
      <c r="O1934" s="5"/>
      <c r="P1934" s="5"/>
    </row>
    <row r="1935" spans="2:16" s="8" customFormat="1" ht="12.75" hidden="1" customHeight="1">
      <c r="B1935" s="37"/>
      <c r="C1935" s="37"/>
      <c r="D1935" s="38"/>
      <c r="E1935" s="38"/>
      <c r="F1935" s="39"/>
      <c r="K1935" s="5"/>
      <c r="L1935" s="5"/>
      <c r="M1935" s="5"/>
      <c r="N1935" s="5"/>
      <c r="O1935" s="5"/>
      <c r="P1935" s="5"/>
    </row>
    <row r="1936" spans="2:16" s="8" customFormat="1" ht="12.75" hidden="1" customHeight="1">
      <c r="B1936" s="37"/>
      <c r="C1936" s="37"/>
      <c r="D1936" s="38"/>
      <c r="E1936" s="38"/>
      <c r="F1936" s="39"/>
      <c r="K1936" s="5"/>
      <c r="L1936" s="5"/>
      <c r="M1936" s="5"/>
      <c r="N1936" s="5"/>
      <c r="O1936" s="5"/>
      <c r="P1936" s="5"/>
    </row>
    <row r="1937" spans="2:16" s="8" customFormat="1" ht="12.75" hidden="1" customHeight="1">
      <c r="B1937" s="37"/>
      <c r="C1937" s="37"/>
      <c r="D1937" s="38"/>
      <c r="E1937" s="38"/>
      <c r="F1937" s="39"/>
      <c r="K1937" s="5"/>
      <c r="L1937" s="5"/>
      <c r="M1937" s="5"/>
      <c r="N1937" s="5"/>
      <c r="O1937" s="5"/>
      <c r="P1937" s="5"/>
    </row>
    <row r="1938" spans="2:16" s="8" customFormat="1" ht="12.75" hidden="1" customHeight="1">
      <c r="B1938" s="37"/>
      <c r="C1938" s="37"/>
      <c r="D1938" s="38"/>
      <c r="E1938" s="38"/>
      <c r="F1938" s="39"/>
      <c r="K1938" s="5"/>
      <c r="L1938" s="5"/>
      <c r="M1938" s="5"/>
      <c r="N1938" s="5"/>
      <c r="O1938" s="5"/>
      <c r="P1938" s="5"/>
    </row>
    <row r="1939" spans="2:16" s="8" customFormat="1" ht="12.75" hidden="1" customHeight="1">
      <c r="B1939" s="37"/>
      <c r="C1939" s="37"/>
      <c r="D1939" s="38"/>
      <c r="E1939" s="38"/>
      <c r="F1939" s="39"/>
      <c r="K1939" s="5"/>
      <c r="L1939" s="5"/>
      <c r="M1939" s="5"/>
      <c r="N1939" s="5"/>
      <c r="O1939" s="5"/>
      <c r="P1939" s="5"/>
    </row>
    <row r="1940" spans="2:16" s="8" customFormat="1" ht="12.75" hidden="1" customHeight="1">
      <c r="B1940" s="37"/>
      <c r="C1940" s="37"/>
      <c r="D1940" s="38"/>
      <c r="E1940" s="38"/>
      <c r="F1940" s="39"/>
      <c r="K1940" s="5"/>
      <c r="L1940" s="5"/>
      <c r="M1940" s="5"/>
      <c r="N1940" s="5"/>
      <c r="O1940" s="5"/>
      <c r="P1940" s="5"/>
    </row>
    <row r="1941" spans="2:16" s="8" customFormat="1" ht="12.75" hidden="1" customHeight="1">
      <c r="B1941" s="37"/>
      <c r="C1941" s="37"/>
      <c r="D1941" s="38"/>
      <c r="E1941" s="38"/>
      <c r="F1941" s="39"/>
      <c r="K1941" s="5"/>
      <c r="L1941" s="5"/>
      <c r="M1941" s="5"/>
      <c r="N1941" s="5"/>
      <c r="O1941" s="5"/>
      <c r="P1941" s="5"/>
    </row>
    <row r="1942" spans="2:16" s="8" customFormat="1" ht="12.75" hidden="1" customHeight="1">
      <c r="B1942" s="37"/>
      <c r="C1942" s="37"/>
      <c r="D1942" s="38"/>
      <c r="E1942" s="38"/>
      <c r="F1942" s="39"/>
      <c r="K1942" s="5"/>
      <c r="L1942" s="5"/>
      <c r="M1942" s="5"/>
      <c r="N1942" s="5"/>
      <c r="O1942" s="5"/>
      <c r="P1942" s="5"/>
    </row>
    <row r="1943" spans="2:16" s="8" customFormat="1" ht="12.75" hidden="1" customHeight="1">
      <c r="B1943" s="37"/>
      <c r="C1943" s="37"/>
      <c r="D1943" s="38"/>
      <c r="E1943" s="38"/>
      <c r="F1943" s="39"/>
      <c r="K1943" s="5"/>
      <c r="L1943" s="5"/>
      <c r="M1943" s="5"/>
      <c r="N1943" s="5"/>
      <c r="O1943" s="5"/>
      <c r="P1943" s="5"/>
    </row>
    <row r="1944" spans="2:16" s="8" customFormat="1" ht="12.75" hidden="1" customHeight="1">
      <c r="B1944" s="37"/>
      <c r="C1944" s="37"/>
      <c r="D1944" s="38"/>
      <c r="E1944" s="38"/>
      <c r="F1944" s="39"/>
      <c r="K1944" s="5"/>
      <c r="L1944" s="5"/>
      <c r="M1944" s="5"/>
      <c r="N1944" s="5"/>
      <c r="O1944" s="5"/>
      <c r="P1944" s="5"/>
    </row>
    <row r="1945" spans="2:16" s="8" customFormat="1" ht="12.75" hidden="1" customHeight="1">
      <c r="B1945" s="37"/>
      <c r="C1945" s="37"/>
      <c r="D1945" s="38"/>
      <c r="E1945" s="38"/>
      <c r="F1945" s="39"/>
      <c r="K1945" s="5"/>
      <c r="L1945" s="5"/>
      <c r="M1945" s="5"/>
      <c r="N1945" s="5"/>
      <c r="O1945" s="5"/>
      <c r="P1945" s="5"/>
    </row>
    <row r="1946" spans="2:16" s="8" customFormat="1" ht="12.75" hidden="1" customHeight="1">
      <c r="B1946" s="37"/>
      <c r="C1946" s="37"/>
      <c r="D1946" s="38"/>
      <c r="E1946" s="38"/>
      <c r="F1946" s="39"/>
      <c r="K1946" s="5"/>
      <c r="L1946" s="5"/>
      <c r="M1946" s="5"/>
      <c r="N1946" s="5"/>
      <c r="O1946" s="5"/>
      <c r="P1946" s="5"/>
    </row>
    <row r="1947" spans="2:16" s="8" customFormat="1" ht="12.75" hidden="1" customHeight="1">
      <c r="B1947" s="37"/>
      <c r="C1947" s="37"/>
      <c r="D1947" s="38"/>
      <c r="E1947" s="38"/>
      <c r="F1947" s="39"/>
      <c r="K1947" s="5"/>
      <c r="L1947" s="5"/>
      <c r="M1947" s="5"/>
      <c r="N1947" s="5"/>
      <c r="O1947" s="5"/>
      <c r="P1947" s="5"/>
    </row>
    <row r="1948" spans="2:16" s="8" customFormat="1" ht="12.75" hidden="1" customHeight="1">
      <c r="B1948" s="37"/>
      <c r="C1948" s="37"/>
      <c r="D1948" s="38"/>
      <c r="E1948" s="38"/>
      <c r="F1948" s="39"/>
      <c r="K1948" s="5"/>
      <c r="L1948" s="5"/>
      <c r="M1948" s="5"/>
      <c r="N1948" s="5"/>
      <c r="O1948" s="5"/>
      <c r="P1948" s="5"/>
    </row>
    <row r="1949" spans="2:16" s="8" customFormat="1" ht="12.75" hidden="1" customHeight="1">
      <c r="B1949" s="37"/>
      <c r="C1949" s="37"/>
      <c r="D1949" s="38"/>
      <c r="E1949" s="38"/>
      <c r="F1949" s="39"/>
      <c r="K1949" s="5"/>
      <c r="L1949" s="5"/>
      <c r="M1949" s="5"/>
      <c r="N1949" s="5"/>
      <c r="O1949" s="5"/>
      <c r="P1949" s="5"/>
    </row>
    <row r="1950" spans="2:16" s="8" customFormat="1" ht="12.75" hidden="1" customHeight="1">
      <c r="B1950" s="37"/>
      <c r="C1950" s="37"/>
      <c r="D1950" s="38"/>
      <c r="E1950" s="38"/>
      <c r="F1950" s="39"/>
      <c r="K1950" s="5"/>
      <c r="L1950" s="5"/>
      <c r="M1950" s="5"/>
      <c r="N1950" s="5"/>
      <c r="O1950" s="5"/>
      <c r="P1950" s="5"/>
    </row>
    <row r="1951" spans="2:16" s="8" customFormat="1" ht="12.75" hidden="1" customHeight="1">
      <c r="B1951" s="37"/>
      <c r="C1951" s="37"/>
      <c r="D1951" s="38"/>
      <c r="E1951" s="38"/>
      <c r="F1951" s="39"/>
      <c r="K1951" s="5"/>
      <c r="L1951" s="5"/>
      <c r="M1951" s="5"/>
      <c r="N1951" s="5"/>
      <c r="O1951" s="5"/>
      <c r="P1951" s="5"/>
    </row>
    <row r="1952" spans="2:16" s="8" customFormat="1" ht="12.75" hidden="1" customHeight="1">
      <c r="B1952" s="37"/>
      <c r="C1952" s="37"/>
      <c r="D1952" s="38"/>
      <c r="E1952" s="38"/>
      <c r="F1952" s="39"/>
      <c r="K1952" s="5"/>
      <c r="L1952" s="5"/>
      <c r="M1952" s="5"/>
      <c r="N1952" s="5"/>
      <c r="O1952" s="5"/>
      <c r="P1952" s="5"/>
    </row>
    <row r="1953" spans="2:16" s="8" customFormat="1" ht="12.75" hidden="1" customHeight="1">
      <c r="B1953" s="37"/>
      <c r="C1953" s="37"/>
      <c r="D1953" s="38"/>
      <c r="E1953" s="38"/>
      <c r="F1953" s="39"/>
      <c r="K1953" s="5"/>
      <c r="L1953" s="5"/>
      <c r="M1953" s="5"/>
      <c r="N1953" s="5"/>
      <c r="O1953" s="5"/>
      <c r="P1953" s="5"/>
    </row>
    <row r="1954" spans="2:16" s="8" customFormat="1" ht="12.75" hidden="1" customHeight="1">
      <c r="B1954" s="37"/>
      <c r="C1954" s="37"/>
      <c r="D1954" s="38"/>
      <c r="E1954" s="38"/>
      <c r="F1954" s="39"/>
      <c r="K1954" s="5"/>
      <c r="L1954" s="5"/>
      <c r="M1954" s="5"/>
      <c r="N1954" s="5"/>
      <c r="O1954" s="5"/>
      <c r="P1954" s="5"/>
    </row>
    <row r="1955" spans="2:16" s="8" customFormat="1" ht="12.75" hidden="1" customHeight="1">
      <c r="B1955" s="37"/>
      <c r="C1955" s="37"/>
      <c r="D1955" s="38"/>
      <c r="E1955" s="38"/>
      <c r="F1955" s="39"/>
      <c r="K1955" s="5"/>
      <c r="L1955" s="5"/>
      <c r="M1955" s="5"/>
      <c r="N1955" s="5"/>
      <c r="O1955" s="5"/>
      <c r="P1955" s="5"/>
    </row>
    <row r="1956" spans="2:16" s="8" customFormat="1" ht="12.75" hidden="1" customHeight="1">
      <c r="B1956" s="37"/>
      <c r="C1956" s="37"/>
      <c r="D1956" s="38"/>
      <c r="E1956" s="38"/>
      <c r="F1956" s="39"/>
      <c r="K1956" s="5"/>
      <c r="L1956" s="5"/>
      <c r="M1956" s="5"/>
      <c r="N1956" s="5"/>
      <c r="O1956" s="5"/>
      <c r="P1956" s="5"/>
    </row>
    <row r="1957" spans="2:16" s="8" customFormat="1" ht="12.75" hidden="1" customHeight="1">
      <c r="B1957" s="37"/>
      <c r="C1957" s="37"/>
      <c r="D1957" s="38"/>
      <c r="E1957" s="38"/>
      <c r="F1957" s="39"/>
      <c r="K1957" s="5"/>
      <c r="L1957" s="5"/>
      <c r="M1957" s="5"/>
      <c r="N1957" s="5"/>
      <c r="O1957" s="5"/>
      <c r="P1957" s="5"/>
    </row>
    <row r="1958" spans="2:16" s="8" customFormat="1" ht="12.75" hidden="1" customHeight="1">
      <c r="B1958" s="37"/>
      <c r="C1958" s="37"/>
      <c r="D1958" s="38"/>
      <c r="E1958" s="38"/>
      <c r="F1958" s="39"/>
      <c r="K1958" s="5"/>
      <c r="L1958" s="5"/>
      <c r="M1958" s="5"/>
      <c r="N1958" s="5"/>
      <c r="O1958" s="5"/>
      <c r="P1958" s="5"/>
    </row>
    <row r="1959" spans="2:16" s="8" customFormat="1" ht="12.75" hidden="1" customHeight="1">
      <c r="B1959" s="37"/>
      <c r="C1959" s="37"/>
      <c r="D1959" s="38"/>
      <c r="E1959" s="38"/>
      <c r="F1959" s="39"/>
      <c r="K1959" s="5"/>
      <c r="L1959" s="5"/>
      <c r="M1959" s="5"/>
      <c r="N1959" s="5"/>
      <c r="O1959" s="5"/>
      <c r="P1959" s="5"/>
    </row>
    <row r="1960" spans="2:16" s="8" customFormat="1" ht="12.75" hidden="1" customHeight="1">
      <c r="B1960" s="37"/>
      <c r="C1960" s="37"/>
      <c r="D1960" s="38"/>
      <c r="E1960" s="38"/>
      <c r="F1960" s="39"/>
      <c r="K1960" s="5"/>
      <c r="L1960" s="5"/>
      <c r="M1960" s="5"/>
      <c r="N1960" s="5"/>
      <c r="O1960" s="5"/>
      <c r="P1960" s="5"/>
    </row>
    <row r="1961" spans="2:16" s="8" customFormat="1" ht="12.75" hidden="1" customHeight="1">
      <c r="B1961" s="37"/>
      <c r="C1961" s="37"/>
      <c r="D1961" s="38"/>
      <c r="E1961" s="38"/>
      <c r="F1961" s="39"/>
      <c r="K1961" s="5"/>
      <c r="L1961" s="5"/>
      <c r="M1961" s="5"/>
      <c r="N1961" s="5"/>
      <c r="O1961" s="5"/>
      <c r="P1961" s="5"/>
    </row>
    <row r="1962" spans="2:16" s="8" customFormat="1" ht="12.75" hidden="1" customHeight="1">
      <c r="B1962" s="37"/>
      <c r="C1962" s="37"/>
      <c r="D1962" s="38"/>
      <c r="E1962" s="38"/>
      <c r="F1962" s="39"/>
      <c r="K1962" s="5"/>
      <c r="L1962" s="5"/>
      <c r="M1962" s="5"/>
      <c r="N1962" s="5"/>
      <c r="O1962" s="5"/>
      <c r="P1962" s="5"/>
    </row>
    <row r="1963" spans="2:16" s="8" customFormat="1" ht="12.75" hidden="1" customHeight="1">
      <c r="B1963" s="37"/>
      <c r="C1963" s="37"/>
      <c r="D1963" s="38"/>
      <c r="E1963" s="38"/>
      <c r="F1963" s="39"/>
      <c r="K1963" s="5"/>
      <c r="L1963" s="5"/>
      <c r="M1963" s="5"/>
      <c r="N1963" s="5"/>
      <c r="O1963" s="5"/>
      <c r="P1963" s="5"/>
    </row>
    <row r="1964" spans="2:16" s="8" customFormat="1" ht="12.75" hidden="1" customHeight="1">
      <c r="B1964" s="37"/>
      <c r="C1964" s="37"/>
      <c r="D1964" s="38"/>
      <c r="E1964" s="38"/>
      <c r="F1964" s="39"/>
      <c r="K1964" s="5"/>
      <c r="L1964" s="5"/>
      <c r="M1964" s="5"/>
      <c r="N1964" s="5"/>
      <c r="O1964" s="5"/>
      <c r="P1964" s="5"/>
    </row>
    <row r="1965" spans="2:16" s="8" customFormat="1" ht="12.75" hidden="1" customHeight="1">
      <c r="B1965" s="37"/>
      <c r="C1965" s="37"/>
      <c r="D1965" s="38"/>
      <c r="E1965" s="38"/>
      <c r="F1965" s="39"/>
      <c r="K1965" s="5"/>
      <c r="L1965" s="5"/>
      <c r="M1965" s="5"/>
      <c r="N1965" s="5"/>
      <c r="O1965" s="5"/>
      <c r="P1965" s="5"/>
    </row>
    <row r="1966" spans="2:16" s="8" customFormat="1" ht="12.75" hidden="1" customHeight="1">
      <c r="B1966" s="37"/>
      <c r="C1966" s="37"/>
      <c r="D1966" s="38"/>
      <c r="E1966" s="38"/>
      <c r="F1966" s="39"/>
      <c r="K1966" s="5"/>
      <c r="L1966" s="5"/>
      <c r="M1966" s="5"/>
      <c r="N1966" s="5"/>
      <c r="O1966" s="5"/>
      <c r="P1966" s="5"/>
    </row>
    <row r="1967" spans="2:16" s="8" customFormat="1" ht="12.75" hidden="1" customHeight="1">
      <c r="B1967" s="37"/>
      <c r="C1967" s="37"/>
      <c r="D1967" s="38"/>
      <c r="E1967" s="38"/>
      <c r="F1967" s="39"/>
      <c r="K1967" s="5"/>
      <c r="L1967" s="5"/>
      <c r="M1967" s="5"/>
      <c r="N1967" s="5"/>
      <c r="O1967" s="5"/>
      <c r="P1967" s="5"/>
    </row>
    <row r="1968" spans="2:16" s="8" customFormat="1" ht="12.75" hidden="1" customHeight="1">
      <c r="B1968" s="37"/>
      <c r="C1968" s="37"/>
      <c r="D1968" s="38"/>
      <c r="E1968" s="38"/>
      <c r="F1968" s="39"/>
      <c r="K1968" s="5"/>
      <c r="L1968" s="5"/>
      <c r="M1968" s="5"/>
      <c r="N1968" s="5"/>
      <c r="O1968" s="5"/>
      <c r="P1968" s="5"/>
    </row>
    <row r="1969" spans="2:16" s="8" customFormat="1" ht="12.75" hidden="1" customHeight="1">
      <c r="B1969" s="37"/>
      <c r="C1969" s="37"/>
      <c r="D1969" s="38"/>
      <c r="E1969" s="38"/>
      <c r="F1969" s="39"/>
      <c r="K1969" s="5"/>
      <c r="L1969" s="5"/>
      <c r="M1969" s="5"/>
      <c r="N1969" s="5"/>
      <c r="O1969" s="5"/>
      <c r="P1969" s="5"/>
    </row>
    <row r="1970" spans="2:16" s="8" customFormat="1" ht="12.75" hidden="1" customHeight="1">
      <c r="B1970" s="37"/>
      <c r="C1970" s="37"/>
      <c r="D1970" s="38"/>
      <c r="E1970" s="38"/>
      <c r="F1970" s="39"/>
      <c r="K1970" s="5"/>
      <c r="L1970" s="5"/>
      <c r="M1970" s="5"/>
      <c r="N1970" s="5"/>
      <c r="O1970" s="5"/>
      <c r="P1970" s="5"/>
    </row>
    <row r="1971" spans="2:16" s="8" customFormat="1" ht="12.75" hidden="1" customHeight="1">
      <c r="B1971" s="37"/>
      <c r="C1971" s="37"/>
      <c r="D1971" s="38"/>
      <c r="E1971" s="38"/>
      <c r="F1971" s="39"/>
      <c r="K1971" s="5"/>
      <c r="L1971" s="5"/>
      <c r="M1971" s="5"/>
      <c r="N1971" s="5"/>
      <c r="O1971" s="5"/>
      <c r="P1971" s="5"/>
    </row>
    <row r="1972" spans="2:16" s="8" customFormat="1" ht="12.75" hidden="1" customHeight="1">
      <c r="B1972" s="37"/>
      <c r="C1972" s="37"/>
      <c r="D1972" s="38"/>
      <c r="E1972" s="38"/>
      <c r="F1972" s="39"/>
      <c r="K1972" s="5"/>
      <c r="L1972" s="5"/>
      <c r="M1972" s="5"/>
      <c r="N1972" s="5"/>
      <c r="O1972" s="5"/>
      <c r="P1972" s="5"/>
    </row>
    <row r="1973" spans="2:16" s="8" customFormat="1" ht="12.75" hidden="1" customHeight="1">
      <c r="B1973" s="37"/>
      <c r="C1973" s="37"/>
      <c r="D1973" s="38"/>
      <c r="E1973" s="38"/>
      <c r="F1973" s="39"/>
      <c r="K1973" s="5"/>
      <c r="L1973" s="5"/>
      <c r="M1973" s="5"/>
      <c r="N1973" s="5"/>
      <c r="O1973" s="5"/>
      <c r="P1973" s="5"/>
    </row>
    <row r="1974" spans="2:16" s="8" customFormat="1" ht="12.75" hidden="1" customHeight="1">
      <c r="B1974" s="37"/>
      <c r="C1974" s="37"/>
      <c r="D1974" s="38"/>
      <c r="E1974" s="38"/>
      <c r="F1974" s="39"/>
      <c r="K1974" s="5"/>
      <c r="L1974" s="5"/>
      <c r="M1974" s="5"/>
      <c r="N1974" s="5"/>
      <c r="O1974" s="5"/>
      <c r="P1974" s="5"/>
    </row>
    <row r="1975" spans="2:16" s="8" customFormat="1" ht="12.75" hidden="1" customHeight="1">
      <c r="B1975" s="37"/>
      <c r="C1975" s="37"/>
      <c r="D1975" s="38"/>
      <c r="E1975" s="38"/>
      <c r="F1975" s="39"/>
      <c r="K1975" s="5"/>
      <c r="L1975" s="5"/>
      <c r="M1975" s="5"/>
      <c r="N1975" s="5"/>
      <c r="O1975" s="5"/>
      <c r="P1975" s="5"/>
    </row>
    <row r="1976" spans="2:16" s="8" customFormat="1" ht="12.75" hidden="1" customHeight="1">
      <c r="B1976" s="37"/>
      <c r="C1976" s="37"/>
      <c r="D1976" s="38"/>
      <c r="E1976" s="38"/>
      <c r="F1976" s="39"/>
      <c r="K1976" s="5"/>
      <c r="L1976" s="5"/>
      <c r="M1976" s="5"/>
      <c r="N1976" s="5"/>
      <c r="O1976" s="5"/>
      <c r="P1976" s="5"/>
    </row>
    <row r="1977" spans="2:16" s="8" customFormat="1" ht="12.75" hidden="1" customHeight="1">
      <c r="B1977" s="37"/>
      <c r="C1977" s="37"/>
      <c r="D1977" s="38"/>
      <c r="E1977" s="38"/>
      <c r="F1977" s="39"/>
      <c r="K1977" s="5"/>
      <c r="L1977" s="5"/>
      <c r="M1977" s="5"/>
      <c r="N1977" s="5"/>
      <c r="O1977" s="5"/>
      <c r="P1977" s="5"/>
    </row>
    <row r="1978" spans="2:16" s="8" customFormat="1" ht="12.75" hidden="1" customHeight="1">
      <c r="B1978" s="37"/>
      <c r="C1978" s="37"/>
      <c r="D1978" s="38"/>
      <c r="E1978" s="38"/>
      <c r="F1978" s="39"/>
      <c r="K1978" s="5"/>
      <c r="L1978" s="5"/>
      <c r="M1978" s="5"/>
      <c r="N1978" s="5"/>
      <c r="O1978" s="5"/>
      <c r="P1978" s="5"/>
    </row>
    <row r="1979" spans="2:16" s="8" customFormat="1" ht="12.75" hidden="1" customHeight="1">
      <c r="B1979" s="37"/>
      <c r="C1979" s="37"/>
      <c r="D1979" s="38"/>
      <c r="E1979" s="38"/>
      <c r="F1979" s="39"/>
      <c r="K1979" s="5"/>
      <c r="L1979" s="5"/>
      <c r="M1979" s="5"/>
      <c r="N1979" s="5"/>
      <c r="O1979" s="5"/>
      <c r="P1979" s="5"/>
    </row>
    <row r="1980" spans="2:16" s="8" customFormat="1" ht="12.75" hidden="1" customHeight="1">
      <c r="B1980" s="37"/>
      <c r="C1980" s="37"/>
      <c r="D1980" s="38"/>
      <c r="E1980" s="38"/>
      <c r="F1980" s="39"/>
      <c r="K1980" s="5"/>
      <c r="L1980" s="5"/>
      <c r="M1980" s="5"/>
      <c r="N1980" s="5"/>
      <c r="O1980" s="5"/>
      <c r="P1980" s="5"/>
    </row>
    <row r="1981" spans="2:16" s="8" customFormat="1" ht="12.75" hidden="1" customHeight="1">
      <c r="B1981" s="37"/>
      <c r="C1981" s="37"/>
      <c r="D1981" s="38"/>
      <c r="E1981" s="38"/>
      <c r="F1981" s="39"/>
      <c r="K1981" s="5"/>
      <c r="L1981" s="5"/>
      <c r="M1981" s="5"/>
      <c r="N1981" s="5"/>
      <c r="O1981" s="5"/>
      <c r="P1981" s="5"/>
    </row>
    <row r="1982" spans="2:16" s="8" customFormat="1" ht="12.75" hidden="1" customHeight="1">
      <c r="B1982" s="37"/>
      <c r="C1982" s="37"/>
      <c r="D1982" s="38"/>
      <c r="E1982" s="38"/>
      <c r="F1982" s="39"/>
      <c r="K1982" s="5"/>
      <c r="L1982" s="5"/>
      <c r="M1982" s="5"/>
      <c r="N1982" s="5"/>
      <c r="O1982" s="5"/>
      <c r="P1982" s="5"/>
    </row>
    <row r="1983" spans="2:16" s="8" customFormat="1" ht="12.75" hidden="1" customHeight="1">
      <c r="B1983" s="37"/>
      <c r="C1983" s="37"/>
      <c r="D1983" s="38"/>
      <c r="E1983" s="38"/>
      <c r="F1983" s="39"/>
      <c r="K1983" s="5"/>
      <c r="L1983" s="5"/>
      <c r="M1983" s="5"/>
      <c r="N1983" s="5"/>
      <c r="O1983" s="5"/>
      <c r="P1983" s="5"/>
    </row>
    <row r="1984" spans="2:16" s="8" customFormat="1" ht="12.75" hidden="1" customHeight="1">
      <c r="B1984" s="37"/>
      <c r="C1984" s="37"/>
      <c r="D1984" s="38"/>
      <c r="E1984" s="38"/>
      <c r="F1984" s="39"/>
      <c r="K1984" s="5"/>
      <c r="L1984" s="5"/>
      <c r="M1984" s="5"/>
      <c r="N1984" s="5"/>
      <c r="O1984" s="5"/>
      <c r="P1984" s="5"/>
    </row>
    <row r="1985" spans="2:16" s="8" customFormat="1" ht="12.75" hidden="1" customHeight="1">
      <c r="B1985" s="37"/>
      <c r="C1985" s="37"/>
      <c r="D1985" s="38"/>
      <c r="E1985" s="38"/>
      <c r="F1985" s="39"/>
      <c r="K1985" s="5"/>
      <c r="L1985" s="5"/>
      <c r="M1985" s="5"/>
      <c r="N1985" s="5"/>
      <c r="O1985" s="5"/>
      <c r="P1985" s="5"/>
    </row>
    <row r="1986" spans="2:16" s="8" customFormat="1" ht="12.75" hidden="1" customHeight="1">
      <c r="B1986" s="37"/>
      <c r="C1986" s="37"/>
      <c r="D1986" s="38"/>
      <c r="E1986" s="38"/>
      <c r="F1986" s="39"/>
      <c r="K1986" s="5"/>
      <c r="L1986" s="5"/>
      <c r="M1986" s="5"/>
      <c r="N1986" s="5"/>
      <c r="O1986" s="5"/>
      <c r="P1986" s="5"/>
    </row>
    <row r="1987" spans="2:16" s="8" customFormat="1" ht="12.75" hidden="1" customHeight="1">
      <c r="B1987" s="37"/>
      <c r="C1987" s="37"/>
      <c r="D1987" s="38"/>
      <c r="E1987" s="38"/>
      <c r="F1987" s="39"/>
      <c r="K1987" s="5"/>
      <c r="L1987" s="5"/>
      <c r="M1987" s="5"/>
      <c r="N1987" s="5"/>
      <c r="O1987" s="5"/>
      <c r="P1987" s="5"/>
    </row>
    <row r="1988" spans="2:16" s="8" customFormat="1" ht="12.75" hidden="1" customHeight="1">
      <c r="B1988" s="37"/>
      <c r="C1988" s="37"/>
      <c r="D1988" s="38"/>
      <c r="E1988" s="38"/>
      <c r="F1988" s="39"/>
      <c r="K1988" s="5"/>
      <c r="L1988" s="5"/>
      <c r="M1988" s="5"/>
      <c r="N1988" s="5"/>
      <c r="O1988" s="5"/>
      <c r="P1988" s="5"/>
    </row>
    <row r="1989" spans="2:16" s="8" customFormat="1" ht="12.75" hidden="1" customHeight="1">
      <c r="B1989" s="37"/>
      <c r="C1989" s="37"/>
      <c r="D1989" s="38"/>
      <c r="E1989" s="38"/>
      <c r="F1989" s="39"/>
      <c r="K1989" s="5"/>
      <c r="L1989" s="5"/>
      <c r="M1989" s="5"/>
      <c r="N1989" s="5"/>
      <c r="O1989" s="5"/>
      <c r="P1989" s="5"/>
    </row>
    <row r="1990" spans="2:16" s="8" customFormat="1" ht="12.75" hidden="1" customHeight="1">
      <c r="B1990" s="37"/>
      <c r="C1990" s="37"/>
      <c r="D1990" s="38"/>
      <c r="E1990" s="38"/>
      <c r="F1990" s="39"/>
      <c r="K1990" s="5"/>
      <c r="L1990" s="5"/>
      <c r="M1990" s="5"/>
      <c r="N1990" s="5"/>
      <c r="O1990" s="5"/>
      <c r="P1990" s="5"/>
    </row>
    <row r="1991" spans="2:16" s="8" customFormat="1" ht="12.75" hidden="1" customHeight="1">
      <c r="B1991" s="37"/>
      <c r="C1991" s="37"/>
      <c r="D1991" s="38"/>
      <c r="E1991" s="38"/>
      <c r="F1991" s="39"/>
      <c r="K1991" s="5"/>
      <c r="L1991" s="5"/>
      <c r="M1991" s="5"/>
      <c r="N1991" s="5"/>
      <c r="O1991" s="5"/>
      <c r="P1991" s="5"/>
    </row>
    <row r="1992" spans="2:16" s="8" customFormat="1" ht="12.75" hidden="1" customHeight="1">
      <c r="B1992" s="37"/>
      <c r="C1992" s="37"/>
      <c r="D1992" s="38"/>
      <c r="E1992" s="38"/>
      <c r="F1992" s="39"/>
      <c r="K1992" s="5"/>
      <c r="L1992" s="5"/>
      <c r="M1992" s="5"/>
      <c r="N1992" s="5"/>
      <c r="O1992" s="5"/>
      <c r="P1992" s="5"/>
    </row>
    <row r="1993" spans="2:16" s="8" customFormat="1" ht="12.75" hidden="1" customHeight="1">
      <c r="B1993" s="37"/>
      <c r="C1993" s="37"/>
      <c r="D1993" s="38"/>
      <c r="E1993" s="38"/>
      <c r="F1993" s="39"/>
      <c r="K1993" s="5"/>
      <c r="L1993" s="5"/>
      <c r="M1993" s="5"/>
      <c r="N1993" s="5"/>
      <c r="O1993" s="5"/>
      <c r="P1993" s="5"/>
    </row>
    <row r="1994" spans="2:16" s="8" customFormat="1" ht="12.75" hidden="1" customHeight="1">
      <c r="B1994" s="37"/>
      <c r="C1994" s="37"/>
      <c r="D1994" s="38"/>
      <c r="E1994" s="38"/>
      <c r="F1994" s="39"/>
      <c r="K1994" s="5"/>
      <c r="L1994" s="5"/>
      <c r="M1994" s="5"/>
      <c r="N1994" s="5"/>
      <c r="O1994" s="5"/>
      <c r="P1994" s="5"/>
    </row>
    <row r="1995" spans="2:16" s="8" customFormat="1" ht="12.75" hidden="1" customHeight="1">
      <c r="B1995" s="37"/>
      <c r="C1995" s="37"/>
      <c r="D1995" s="38"/>
      <c r="E1995" s="38"/>
      <c r="F1995" s="39"/>
      <c r="K1995" s="5"/>
      <c r="L1995" s="5"/>
      <c r="M1995" s="5"/>
      <c r="N1995" s="5"/>
      <c r="O1995" s="5"/>
      <c r="P1995" s="5"/>
    </row>
    <row r="1996" spans="2:16" s="8" customFormat="1" ht="12.75" hidden="1" customHeight="1">
      <c r="B1996" s="37"/>
      <c r="C1996" s="37"/>
      <c r="D1996" s="38"/>
      <c r="E1996" s="38"/>
      <c r="F1996" s="39"/>
      <c r="K1996" s="5"/>
      <c r="L1996" s="5"/>
      <c r="M1996" s="5"/>
      <c r="N1996" s="5"/>
      <c r="O1996" s="5"/>
      <c r="P1996" s="5"/>
    </row>
    <row r="1997" spans="2:16" s="8" customFormat="1" ht="12.75" hidden="1" customHeight="1">
      <c r="B1997" s="37"/>
      <c r="C1997" s="37"/>
      <c r="D1997" s="38"/>
      <c r="E1997" s="38"/>
      <c r="F1997" s="39"/>
      <c r="K1997" s="5"/>
      <c r="L1997" s="5"/>
      <c r="M1997" s="5"/>
      <c r="N1997" s="5"/>
      <c r="O1997" s="5"/>
      <c r="P1997" s="5"/>
    </row>
    <row r="1998" spans="2:16" s="8" customFormat="1" ht="12.75" hidden="1" customHeight="1">
      <c r="B1998" s="37"/>
      <c r="C1998" s="37"/>
      <c r="D1998" s="38"/>
      <c r="E1998" s="38"/>
      <c r="F1998" s="39"/>
      <c r="K1998" s="5"/>
      <c r="L1998" s="5"/>
      <c r="M1998" s="5"/>
      <c r="N1998" s="5"/>
      <c r="O1998" s="5"/>
      <c r="P1998" s="5"/>
    </row>
    <row r="1999" spans="2:16" s="8" customFormat="1" ht="12.75" hidden="1" customHeight="1">
      <c r="B1999" s="37"/>
      <c r="C1999" s="37"/>
      <c r="D1999" s="38"/>
      <c r="E1999" s="38"/>
      <c r="F1999" s="39"/>
      <c r="K1999" s="5"/>
      <c r="L1999" s="5"/>
      <c r="M1999" s="5"/>
      <c r="N1999" s="5"/>
      <c r="O1999" s="5"/>
      <c r="P1999" s="5"/>
    </row>
    <row r="2000" spans="2:16" s="8" customFormat="1" ht="12.75" hidden="1" customHeight="1">
      <c r="B2000" s="37"/>
      <c r="C2000" s="37"/>
      <c r="D2000" s="38"/>
      <c r="E2000" s="38"/>
      <c r="F2000" s="39"/>
      <c r="K2000" s="5"/>
      <c r="L2000" s="5"/>
      <c r="M2000" s="5"/>
      <c r="N2000" s="5"/>
      <c r="O2000" s="5"/>
      <c r="P2000" s="5"/>
    </row>
    <row r="2001" spans="2:16" s="8" customFormat="1" ht="12.75" hidden="1" customHeight="1">
      <c r="B2001" s="37"/>
      <c r="C2001" s="37"/>
      <c r="D2001" s="38"/>
      <c r="E2001" s="38"/>
      <c r="F2001" s="39"/>
      <c r="K2001" s="5"/>
      <c r="L2001" s="5"/>
      <c r="M2001" s="5"/>
      <c r="N2001" s="5"/>
      <c r="O2001" s="5"/>
      <c r="P2001" s="5"/>
    </row>
    <row r="2002" spans="2:16" s="8" customFormat="1" ht="12.75" hidden="1" customHeight="1">
      <c r="B2002" s="37"/>
      <c r="C2002" s="37"/>
      <c r="D2002" s="38"/>
      <c r="E2002" s="38"/>
      <c r="F2002" s="39"/>
      <c r="K2002" s="5"/>
      <c r="L2002" s="5"/>
      <c r="M2002" s="5"/>
      <c r="N2002" s="5"/>
      <c r="O2002" s="5"/>
      <c r="P2002" s="5"/>
    </row>
    <row r="2003" spans="2:16" s="8" customFormat="1" ht="12.75" hidden="1" customHeight="1">
      <c r="B2003" s="37"/>
      <c r="C2003" s="37"/>
      <c r="D2003" s="38"/>
      <c r="E2003" s="38"/>
      <c r="F2003" s="39"/>
      <c r="K2003" s="5"/>
      <c r="L2003" s="5"/>
      <c r="M2003" s="5"/>
      <c r="N2003" s="5"/>
      <c r="O2003" s="5"/>
      <c r="P2003" s="5"/>
    </row>
    <row r="2004" spans="2:16" s="8" customFormat="1" ht="12.75" hidden="1" customHeight="1">
      <c r="B2004" s="37"/>
      <c r="C2004" s="37"/>
      <c r="D2004" s="38"/>
      <c r="E2004" s="38"/>
      <c r="F2004" s="39"/>
      <c r="K2004" s="5"/>
      <c r="L2004" s="5"/>
      <c r="M2004" s="5"/>
      <c r="N2004" s="5"/>
      <c r="O2004" s="5"/>
      <c r="P2004" s="5"/>
    </row>
    <row r="2005" spans="2:16" s="8" customFormat="1" ht="12.75" hidden="1" customHeight="1">
      <c r="B2005" s="37"/>
      <c r="C2005" s="37"/>
      <c r="D2005" s="38"/>
      <c r="E2005" s="38"/>
      <c r="F2005" s="39"/>
      <c r="K2005" s="5"/>
      <c r="L2005" s="5"/>
      <c r="M2005" s="5"/>
      <c r="N2005" s="5"/>
      <c r="O2005" s="5"/>
      <c r="P2005" s="5"/>
    </row>
    <row r="2006" spans="2:16" s="8" customFormat="1" ht="12.75" hidden="1" customHeight="1">
      <c r="B2006" s="37"/>
      <c r="C2006" s="37"/>
      <c r="D2006" s="38"/>
      <c r="E2006" s="38"/>
      <c r="F2006" s="39"/>
      <c r="K2006" s="5"/>
      <c r="L2006" s="5"/>
      <c r="M2006" s="5"/>
      <c r="N2006" s="5"/>
      <c r="O2006" s="5"/>
      <c r="P2006" s="5"/>
    </row>
    <row r="2007" spans="2:16" s="8" customFormat="1" ht="12.75" hidden="1" customHeight="1">
      <c r="B2007" s="37"/>
      <c r="C2007" s="37"/>
      <c r="D2007" s="38"/>
      <c r="E2007" s="38"/>
      <c r="F2007" s="39"/>
      <c r="K2007" s="5"/>
      <c r="L2007" s="5"/>
      <c r="M2007" s="5"/>
      <c r="N2007" s="5"/>
      <c r="O2007" s="5"/>
      <c r="P2007" s="5"/>
    </row>
    <row r="2008" spans="2:16" s="8" customFormat="1" ht="12.75" hidden="1" customHeight="1">
      <c r="B2008" s="37"/>
      <c r="C2008" s="37"/>
      <c r="D2008" s="38"/>
      <c r="E2008" s="38"/>
      <c r="F2008" s="39"/>
      <c r="K2008" s="5"/>
      <c r="L2008" s="5"/>
      <c r="M2008" s="5"/>
      <c r="N2008" s="5"/>
      <c r="O2008" s="5"/>
      <c r="P2008" s="5"/>
    </row>
    <row r="2009" spans="2:16" s="8" customFormat="1" ht="12.75" hidden="1" customHeight="1">
      <c r="B2009" s="37"/>
      <c r="C2009" s="37"/>
      <c r="D2009" s="38"/>
      <c r="E2009" s="38"/>
      <c r="F2009" s="39"/>
      <c r="K2009" s="5"/>
      <c r="L2009" s="5"/>
      <c r="M2009" s="5"/>
      <c r="N2009" s="5"/>
      <c r="O2009" s="5"/>
      <c r="P2009" s="5"/>
    </row>
    <row r="2010" spans="2:16" s="8" customFormat="1" ht="12.75" hidden="1" customHeight="1">
      <c r="B2010" s="37"/>
      <c r="C2010" s="37"/>
      <c r="D2010" s="38"/>
      <c r="E2010" s="38"/>
      <c r="F2010" s="39"/>
      <c r="K2010" s="5"/>
      <c r="L2010" s="5"/>
      <c r="M2010" s="5"/>
      <c r="N2010" s="5"/>
      <c r="O2010" s="5"/>
      <c r="P2010" s="5"/>
    </row>
    <row r="2011" spans="2:16" s="8" customFormat="1" ht="12.75" hidden="1" customHeight="1">
      <c r="B2011" s="37"/>
      <c r="C2011" s="37"/>
      <c r="D2011" s="38"/>
      <c r="E2011" s="38"/>
      <c r="F2011" s="39"/>
      <c r="K2011" s="5"/>
      <c r="L2011" s="5"/>
      <c r="M2011" s="5"/>
      <c r="N2011" s="5"/>
      <c r="O2011" s="5"/>
      <c r="P2011" s="5"/>
    </row>
    <row r="2012" spans="2:16" s="8" customFormat="1" ht="12.75" hidden="1" customHeight="1">
      <c r="B2012" s="37"/>
      <c r="C2012" s="37"/>
      <c r="D2012" s="38"/>
      <c r="E2012" s="38"/>
      <c r="F2012" s="39"/>
      <c r="K2012" s="5"/>
      <c r="L2012" s="5"/>
      <c r="M2012" s="5"/>
      <c r="N2012" s="5"/>
      <c r="O2012" s="5"/>
      <c r="P2012" s="5"/>
    </row>
    <row r="2013" spans="2:16" s="8" customFormat="1" ht="12.75" hidden="1" customHeight="1">
      <c r="B2013" s="37"/>
      <c r="C2013" s="37"/>
      <c r="D2013" s="38"/>
      <c r="E2013" s="38"/>
      <c r="F2013" s="39"/>
      <c r="K2013" s="5"/>
      <c r="L2013" s="5"/>
      <c r="M2013" s="5"/>
      <c r="N2013" s="5"/>
      <c r="O2013" s="5"/>
      <c r="P2013" s="5"/>
    </row>
    <row r="2014" spans="2:16" s="8" customFormat="1" ht="12.75" hidden="1" customHeight="1">
      <c r="B2014" s="37"/>
      <c r="C2014" s="37"/>
      <c r="D2014" s="38"/>
      <c r="E2014" s="38"/>
      <c r="F2014" s="39"/>
      <c r="K2014" s="5"/>
      <c r="L2014" s="5"/>
      <c r="M2014" s="5"/>
      <c r="N2014" s="5"/>
      <c r="O2014" s="5"/>
      <c r="P2014" s="5"/>
    </row>
    <row r="2015" spans="2:16" s="8" customFormat="1" ht="12.75" hidden="1" customHeight="1">
      <c r="B2015" s="37"/>
      <c r="C2015" s="37"/>
      <c r="D2015" s="38"/>
      <c r="E2015" s="38"/>
      <c r="F2015" s="39"/>
      <c r="K2015" s="5"/>
      <c r="L2015" s="5"/>
      <c r="M2015" s="5"/>
      <c r="N2015" s="5"/>
      <c r="O2015" s="5"/>
      <c r="P2015" s="5"/>
    </row>
    <row r="2016" spans="2:16" s="8" customFormat="1" ht="12.75" hidden="1" customHeight="1">
      <c r="B2016" s="37"/>
      <c r="C2016" s="37"/>
      <c r="D2016" s="38"/>
      <c r="E2016" s="38"/>
      <c r="F2016" s="39"/>
      <c r="K2016" s="5"/>
      <c r="L2016" s="5"/>
      <c r="M2016" s="5"/>
      <c r="N2016" s="5"/>
      <c r="O2016" s="5"/>
      <c r="P2016" s="5"/>
    </row>
    <row r="2017" spans="2:16" s="8" customFormat="1" ht="12.75" hidden="1" customHeight="1">
      <c r="B2017" s="37"/>
      <c r="C2017" s="37"/>
      <c r="D2017" s="38"/>
      <c r="E2017" s="38"/>
      <c r="F2017" s="39"/>
      <c r="K2017" s="5"/>
      <c r="L2017" s="5"/>
      <c r="M2017" s="5"/>
      <c r="N2017" s="5"/>
      <c r="O2017" s="5"/>
      <c r="P2017" s="5"/>
    </row>
    <row r="2018" spans="2:16" s="8" customFormat="1" ht="12.75" hidden="1" customHeight="1">
      <c r="B2018" s="37"/>
      <c r="C2018" s="37"/>
      <c r="D2018" s="38"/>
      <c r="E2018" s="38"/>
      <c r="F2018" s="39"/>
      <c r="K2018" s="5"/>
      <c r="L2018" s="5"/>
      <c r="M2018" s="5"/>
      <c r="N2018" s="5"/>
      <c r="O2018" s="5"/>
      <c r="P2018" s="5"/>
    </row>
    <row r="2019" spans="2:16" s="8" customFormat="1" ht="12.75" hidden="1" customHeight="1">
      <c r="B2019" s="37"/>
      <c r="C2019" s="37"/>
      <c r="D2019" s="38"/>
      <c r="E2019" s="38"/>
      <c r="F2019" s="39"/>
      <c r="K2019" s="5"/>
      <c r="L2019" s="5"/>
      <c r="M2019" s="5"/>
      <c r="N2019" s="5"/>
      <c r="O2019" s="5"/>
      <c r="P2019" s="5"/>
    </row>
    <row r="2020" spans="2:16" s="8" customFormat="1" ht="12.75" hidden="1" customHeight="1">
      <c r="B2020" s="37"/>
      <c r="C2020" s="37"/>
      <c r="D2020" s="38"/>
      <c r="E2020" s="38"/>
      <c r="F2020" s="39"/>
      <c r="K2020" s="5"/>
      <c r="L2020" s="5"/>
      <c r="M2020" s="5"/>
      <c r="N2020" s="5"/>
      <c r="O2020" s="5"/>
      <c r="P2020" s="5"/>
    </row>
    <row r="2021" spans="2:16" s="8" customFormat="1" ht="12.75" hidden="1" customHeight="1">
      <c r="B2021" s="37"/>
      <c r="C2021" s="37"/>
      <c r="D2021" s="38"/>
      <c r="E2021" s="38"/>
      <c r="F2021" s="39"/>
      <c r="K2021" s="5"/>
      <c r="L2021" s="5"/>
      <c r="M2021" s="5"/>
      <c r="N2021" s="5"/>
      <c r="O2021" s="5"/>
      <c r="P2021" s="5"/>
    </row>
    <row r="2022" spans="2:16" s="8" customFormat="1" ht="12.75" hidden="1" customHeight="1">
      <c r="B2022" s="37"/>
      <c r="C2022" s="37"/>
      <c r="D2022" s="38"/>
      <c r="E2022" s="38"/>
      <c r="F2022" s="39"/>
      <c r="K2022" s="5"/>
      <c r="L2022" s="5"/>
      <c r="M2022" s="5"/>
      <c r="N2022" s="5"/>
      <c r="O2022" s="5"/>
      <c r="P2022" s="5"/>
    </row>
    <row r="2023" spans="2:16" s="8" customFormat="1" ht="12.75" hidden="1" customHeight="1">
      <c r="B2023" s="37"/>
      <c r="C2023" s="37"/>
      <c r="D2023" s="38"/>
      <c r="E2023" s="38"/>
      <c r="F2023" s="39"/>
      <c r="K2023" s="5"/>
      <c r="L2023" s="5"/>
      <c r="M2023" s="5"/>
      <c r="N2023" s="5"/>
      <c r="O2023" s="5"/>
      <c r="P2023" s="5"/>
    </row>
    <row r="2024" spans="2:16" s="8" customFormat="1" ht="12.75" hidden="1" customHeight="1">
      <c r="B2024" s="37"/>
      <c r="C2024" s="37"/>
      <c r="D2024" s="38"/>
      <c r="E2024" s="38"/>
      <c r="F2024" s="39"/>
      <c r="K2024" s="5"/>
      <c r="L2024" s="5"/>
      <c r="M2024" s="5"/>
      <c r="N2024" s="5"/>
      <c r="O2024" s="5"/>
      <c r="P2024" s="5"/>
    </row>
    <row r="2025" spans="2:16" s="8" customFormat="1" ht="12.75" hidden="1" customHeight="1">
      <c r="B2025" s="37"/>
      <c r="C2025" s="37"/>
      <c r="D2025" s="38"/>
      <c r="E2025" s="38"/>
      <c r="F2025" s="39"/>
      <c r="K2025" s="5"/>
      <c r="L2025" s="5"/>
      <c r="M2025" s="5"/>
      <c r="N2025" s="5"/>
      <c r="O2025" s="5"/>
      <c r="P2025" s="5"/>
    </row>
    <row r="2026" spans="2:16" s="8" customFormat="1" ht="12.75" hidden="1" customHeight="1">
      <c r="B2026" s="37"/>
      <c r="C2026" s="37"/>
      <c r="D2026" s="38"/>
      <c r="E2026" s="38"/>
      <c r="F2026" s="39"/>
      <c r="K2026" s="5"/>
      <c r="L2026" s="5"/>
      <c r="M2026" s="5"/>
      <c r="N2026" s="5"/>
      <c r="O2026" s="5"/>
      <c r="P2026" s="5"/>
    </row>
    <row r="2027" spans="2:16" s="8" customFormat="1" ht="12.75" hidden="1" customHeight="1">
      <c r="B2027" s="37"/>
      <c r="C2027" s="37"/>
      <c r="D2027" s="38"/>
      <c r="E2027" s="38"/>
      <c r="F2027" s="39"/>
      <c r="K2027" s="5"/>
      <c r="L2027" s="5"/>
      <c r="M2027" s="5"/>
      <c r="N2027" s="5"/>
      <c r="O2027" s="5"/>
      <c r="P2027" s="5"/>
    </row>
    <row r="2028" spans="2:16" s="8" customFormat="1" ht="12.75" hidden="1" customHeight="1">
      <c r="B2028" s="37"/>
      <c r="C2028" s="37"/>
      <c r="D2028" s="38"/>
      <c r="E2028" s="38"/>
      <c r="F2028" s="39"/>
      <c r="K2028" s="5"/>
      <c r="L2028" s="5"/>
      <c r="M2028" s="5"/>
      <c r="N2028" s="5"/>
      <c r="O2028" s="5"/>
      <c r="P2028" s="5"/>
    </row>
    <row r="2029" spans="2:16" s="8" customFormat="1" ht="12.75" hidden="1" customHeight="1">
      <c r="B2029" s="37"/>
      <c r="C2029" s="37"/>
      <c r="D2029" s="38"/>
      <c r="E2029" s="38"/>
      <c r="F2029" s="39"/>
      <c r="K2029" s="5"/>
      <c r="L2029" s="5"/>
      <c r="M2029" s="5"/>
      <c r="N2029" s="5"/>
      <c r="O2029" s="5"/>
      <c r="P2029" s="5"/>
    </row>
    <row r="2030" spans="2:16" s="8" customFormat="1" ht="12.75" hidden="1" customHeight="1">
      <c r="B2030" s="37"/>
      <c r="C2030" s="37"/>
      <c r="D2030" s="38"/>
      <c r="E2030" s="38"/>
      <c r="F2030" s="39"/>
      <c r="K2030" s="5"/>
      <c r="L2030" s="5"/>
      <c r="M2030" s="5"/>
      <c r="N2030" s="5"/>
      <c r="O2030" s="5"/>
      <c r="P2030" s="5"/>
    </row>
    <row r="2031" spans="2:16" s="8" customFormat="1" ht="12.75" hidden="1" customHeight="1">
      <c r="B2031" s="37"/>
      <c r="C2031" s="37"/>
      <c r="D2031" s="38"/>
      <c r="E2031" s="38"/>
      <c r="F2031" s="39"/>
      <c r="K2031" s="5"/>
      <c r="L2031" s="5"/>
      <c r="M2031" s="5"/>
      <c r="N2031" s="5"/>
      <c r="O2031" s="5"/>
      <c r="P2031" s="5"/>
    </row>
    <row r="2032" spans="2:16" s="8" customFormat="1" ht="12.75" hidden="1" customHeight="1">
      <c r="B2032" s="37"/>
      <c r="C2032" s="37"/>
      <c r="D2032" s="38"/>
      <c r="E2032" s="38"/>
      <c r="F2032" s="39"/>
      <c r="K2032" s="5"/>
      <c r="L2032" s="5"/>
      <c r="M2032" s="5"/>
      <c r="N2032" s="5"/>
      <c r="O2032" s="5"/>
      <c r="P2032" s="5"/>
    </row>
    <row r="2033" spans="2:16" s="8" customFormat="1" ht="12.75" hidden="1" customHeight="1">
      <c r="B2033" s="37"/>
      <c r="C2033" s="37"/>
      <c r="D2033" s="38"/>
      <c r="E2033" s="38"/>
      <c r="F2033" s="39"/>
      <c r="K2033" s="5"/>
      <c r="L2033" s="5"/>
      <c r="M2033" s="5"/>
      <c r="N2033" s="5"/>
      <c r="O2033" s="5"/>
      <c r="P2033" s="5"/>
    </row>
    <row r="2034" spans="2:16" s="8" customFormat="1" ht="12.75" hidden="1" customHeight="1">
      <c r="B2034" s="37"/>
      <c r="C2034" s="37"/>
      <c r="D2034" s="38"/>
      <c r="E2034" s="38"/>
      <c r="F2034" s="39"/>
      <c r="K2034" s="5"/>
      <c r="L2034" s="5"/>
      <c r="M2034" s="5"/>
      <c r="N2034" s="5"/>
      <c r="O2034" s="5"/>
      <c r="P2034" s="5"/>
    </row>
    <row r="2035" spans="2:16" s="8" customFormat="1" ht="12.75" hidden="1" customHeight="1">
      <c r="B2035" s="37"/>
      <c r="C2035" s="37"/>
      <c r="D2035" s="38"/>
      <c r="E2035" s="38"/>
      <c r="F2035" s="39"/>
      <c r="K2035" s="5"/>
      <c r="L2035" s="5"/>
      <c r="M2035" s="5"/>
      <c r="N2035" s="5"/>
      <c r="O2035" s="5"/>
      <c r="P2035" s="5"/>
    </row>
    <row r="2036" spans="2:16" s="8" customFormat="1" ht="12.75" hidden="1" customHeight="1">
      <c r="B2036" s="37"/>
      <c r="C2036" s="37"/>
      <c r="D2036" s="38"/>
      <c r="E2036" s="38"/>
      <c r="F2036" s="39"/>
      <c r="K2036" s="5"/>
      <c r="L2036" s="5"/>
      <c r="M2036" s="5"/>
      <c r="N2036" s="5"/>
      <c r="O2036" s="5"/>
      <c r="P2036" s="5"/>
    </row>
    <row r="2037" spans="2:16" s="8" customFormat="1" ht="12.75" hidden="1" customHeight="1">
      <c r="B2037" s="37"/>
      <c r="C2037" s="37"/>
      <c r="D2037" s="38"/>
      <c r="E2037" s="38"/>
      <c r="F2037" s="39"/>
      <c r="K2037" s="5"/>
      <c r="L2037" s="5"/>
      <c r="M2037" s="5"/>
      <c r="N2037" s="5"/>
      <c r="O2037" s="5"/>
      <c r="P2037" s="5"/>
    </row>
    <row r="2038" spans="2:16" s="8" customFormat="1" ht="12.75" hidden="1" customHeight="1">
      <c r="B2038" s="37"/>
      <c r="C2038" s="37"/>
      <c r="D2038" s="38"/>
      <c r="E2038" s="38"/>
      <c r="F2038" s="39"/>
      <c r="K2038" s="5"/>
      <c r="L2038" s="5"/>
      <c r="M2038" s="5"/>
      <c r="N2038" s="5"/>
      <c r="O2038" s="5"/>
      <c r="P2038" s="5"/>
    </row>
    <row r="2039" spans="2:16" s="8" customFormat="1" ht="12.75" hidden="1" customHeight="1">
      <c r="B2039" s="37"/>
      <c r="C2039" s="37"/>
      <c r="D2039" s="38"/>
      <c r="E2039" s="38"/>
      <c r="F2039" s="39"/>
      <c r="K2039" s="5"/>
      <c r="L2039" s="5"/>
      <c r="M2039" s="5"/>
      <c r="N2039" s="5"/>
      <c r="O2039" s="5"/>
      <c r="P2039" s="5"/>
    </row>
    <row r="2040" spans="2:16" s="8" customFormat="1" ht="12.75" hidden="1" customHeight="1">
      <c r="B2040" s="37"/>
      <c r="C2040" s="37"/>
      <c r="D2040" s="38"/>
      <c r="E2040" s="38"/>
      <c r="F2040" s="39"/>
      <c r="K2040" s="5"/>
      <c r="L2040" s="5"/>
      <c r="M2040" s="5"/>
      <c r="N2040" s="5"/>
      <c r="O2040" s="5"/>
      <c r="P2040" s="5"/>
    </row>
    <row r="2041" spans="2:16" s="8" customFormat="1" ht="12.75" hidden="1" customHeight="1">
      <c r="B2041" s="37"/>
      <c r="C2041" s="37"/>
      <c r="D2041" s="38"/>
      <c r="E2041" s="38"/>
      <c r="F2041" s="39"/>
      <c r="K2041" s="5"/>
      <c r="L2041" s="5"/>
      <c r="M2041" s="5"/>
      <c r="N2041" s="5"/>
      <c r="O2041" s="5"/>
      <c r="P2041" s="5"/>
    </row>
    <row r="2042" spans="2:16" s="8" customFormat="1" ht="12.75" hidden="1" customHeight="1">
      <c r="B2042" s="37"/>
      <c r="C2042" s="37"/>
      <c r="D2042" s="38"/>
      <c r="E2042" s="38"/>
      <c r="F2042" s="39"/>
      <c r="K2042" s="5"/>
      <c r="L2042" s="5"/>
      <c r="M2042" s="5"/>
      <c r="N2042" s="5"/>
      <c r="O2042" s="5"/>
      <c r="P2042" s="5"/>
    </row>
    <row r="2043" spans="2:16" s="8" customFormat="1" ht="12.75" hidden="1" customHeight="1">
      <c r="B2043" s="37"/>
      <c r="C2043" s="37"/>
      <c r="D2043" s="38"/>
      <c r="E2043" s="38"/>
      <c r="F2043" s="39"/>
      <c r="K2043" s="5"/>
      <c r="L2043" s="5"/>
      <c r="M2043" s="5"/>
      <c r="N2043" s="5"/>
      <c r="O2043" s="5"/>
      <c r="P2043" s="5"/>
    </row>
    <row r="2044" spans="2:16" s="8" customFormat="1" ht="12.75" hidden="1" customHeight="1">
      <c r="B2044" s="37"/>
      <c r="C2044" s="37"/>
      <c r="D2044" s="38"/>
      <c r="E2044" s="38"/>
      <c r="F2044" s="39"/>
      <c r="K2044" s="5"/>
      <c r="L2044" s="5"/>
      <c r="M2044" s="5"/>
      <c r="N2044" s="5"/>
      <c r="O2044" s="5"/>
      <c r="P2044" s="5"/>
    </row>
    <row r="2045" spans="2:16" s="8" customFormat="1" ht="12.75" hidden="1" customHeight="1">
      <c r="B2045" s="37"/>
      <c r="C2045" s="37"/>
      <c r="D2045" s="38"/>
      <c r="E2045" s="38"/>
      <c r="F2045" s="39"/>
      <c r="K2045" s="5"/>
      <c r="L2045" s="5"/>
      <c r="M2045" s="5"/>
      <c r="N2045" s="5"/>
      <c r="O2045" s="5"/>
      <c r="P2045" s="5"/>
    </row>
    <row r="2046" spans="2:16" s="8" customFormat="1" ht="12.75" hidden="1" customHeight="1">
      <c r="B2046" s="37"/>
      <c r="C2046" s="37"/>
      <c r="D2046" s="38"/>
      <c r="E2046" s="38"/>
      <c r="F2046" s="39"/>
      <c r="K2046" s="5"/>
      <c r="L2046" s="5"/>
      <c r="M2046" s="5"/>
      <c r="N2046" s="5"/>
      <c r="O2046" s="5"/>
      <c r="P2046" s="5"/>
    </row>
    <row r="2047" spans="2:16" s="8" customFormat="1" ht="12.75" hidden="1" customHeight="1">
      <c r="B2047" s="37"/>
      <c r="C2047" s="37"/>
      <c r="D2047" s="38"/>
      <c r="E2047" s="38"/>
      <c r="F2047" s="39"/>
      <c r="K2047" s="5"/>
      <c r="L2047" s="5"/>
      <c r="M2047" s="5"/>
      <c r="N2047" s="5"/>
      <c r="O2047" s="5"/>
      <c r="P2047" s="5"/>
    </row>
    <row r="2048" spans="2:16" s="8" customFormat="1" ht="12.75" hidden="1" customHeight="1">
      <c r="B2048" s="37"/>
      <c r="C2048" s="37"/>
      <c r="D2048" s="38"/>
      <c r="E2048" s="38"/>
      <c r="F2048" s="39"/>
      <c r="K2048" s="5"/>
      <c r="L2048" s="5"/>
      <c r="M2048" s="5"/>
      <c r="N2048" s="5"/>
      <c r="O2048" s="5"/>
      <c r="P2048" s="5"/>
    </row>
    <row r="2049" spans="2:16" s="8" customFormat="1" ht="12.75" hidden="1" customHeight="1">
      <c r="B2049" s="37"/>
      <c r="C2049" s="37"/>
      <c r="D2049" s="38"/>
      <c r="E2049" s="38"/>
      <c r="F2049" s="39"/>
      <c r="K2049" s="5"/>
      <c r="L2049" s="5"/>
      <c r="M2049" s="5"/>
      <c r="N2049" s="5"/>
      <c r="O2049" s="5"/>
      <c r="P2049" s="5"/>
    </row>
    <row r="2050" spans="2:16" s="8" customFormat="1" ht="12.75" hidden="1" customHeight="1">
      <c r="B2050" s="37"/>
      <c r="C2050" s="37"/>
      <c r="D2050" s="38"/>
      <c r="E2050" s="38"/>
      <c r="F2050" s="39"/>
      <c r="K2050" s="5"/>
      <c r="L2050" s="5"/>
      <c r="M2050" s="5"/>
      <c r="N2050" s="5"/>
      <c r="O2050" s="5"/>
      <c r="P2050" s="5"/>
    </row>
    <row r="2051" spans="2:16" s="8" customFormat="1" ht="12.75" hidden="1" customHeight="1">
      <c r="B2051" s="37"/>
      <c r="C2051" s="37"/>
      <c r="D2051" s="38"/>
      <c r="E2051" s="38"/>
      <c r="F2051" s="39"/>
      <c r="K2051" s="5"/>
      <c r="L2051" s="5"/>
      <c r="M2051" s="5"/>
      <c r="N2051" s="5"/>
      <c r="O2051" s="5"/>
      <c r="P2051" s="5"/>
    </row>
    <row r="2052" spans="2:16" s="8" customFormat="1" ht="12.75" hidden="1" customHeight="1">
      <c r="B2052" s="37"/>
      <c r="C2052" s="37"/>
      <c r="D2052" s="38"/>
      <c r="E2052" s="38"/>
      <c r="F2052" s="39"/>
      <c r="K2052" s="5"/>
      <c r="L2052" s="5"/>
      <c r="M2052" s="5"/>
      <c r="N2052" s="5"/>
      <c r="O2052" s="5"/>
      <c r="P2052" s="5"/>
    </row>
    <row r="2053" spans="2:16" s="8" customFormat="1" ht="12.75" hidden="1" customHeight="1">
      <c r="B2053" s="37"/>
      <c r="C2053" s="37"/>
      <c r="D2053" s="38"/>
      <c r="E2053" s="38"/>
      <c r="F2053" s="39"/>
      <c r="K2053" s="5"/>
      <c r="L2053" s="5"/>
      <c r="M2053" s="5"/>
      <c r="N2053" s="5"/>
      <c r="O2053" s="5"/>
      <c r="P2053" s="5"/>
    </row>
    <row r="2054" spans="2:16" s="8" customFormat="1" ht="12.75" hidden="1" customHeight="1">
      <c r="B2054" s="37"/>
      <c r="C2054" s="37"/>
      <c r="D2054" s="38"/>
      <c r="E2054" s="38"/>
      <c r="F2054" s="39"/>
      <c r="K2054" s="5"/>
      <c r="L2054" s="5"/>
      <c r="M2054" s="5"/>
      <c r="N2054" s="5"/>
      <c r="O2054" s="5"/>
      <c r="P2054" s="5"/>
    </row>
    <row r="2055" spans="2:16" s="8" customFormat="1" ht="12.75" hidden="1" customHeight="1">
      <c r="B2055" s="37"/>
      <c r="C2055" s="37"/>
      <c r="D2055" s="38"/>
      <c r="E2055" s="38"/>
      <c r="F2055" s="39"/>
      <c r="K2055" s="5"/>
      <c r="L2055" s="5"/>
      <c r="M2055" s="5"/>
      <c r="N2055" s="5"/>
      <c r="O2055" s="5"/>
      <c r="P2055" s="5"/>
    </row>
    <row r="2056" spans="2:16" s="8" customFormat="1" ht="12.75" hidden="1" customHeight="1">
      <c r="B2056" s="37"/>
      <c r="C2056" s="37"/>
      <c r="D2056" s="38"/>
      <c r="E2056" s="38"/>
      <c r="F2056" s="39"/>
      <c r="K2056" s="5"/>
      <c r="L2056" s="5"/>
      <c r="M2056" s="5"/>
      <c r="N2056" s="5"/>
      <c r="O2056" s="5"/>
      <c r="P2056" s="5"/>
    </row>
    <row r="2057" spans="2:16" s="8" customFormat="1" ht="12.75" hidden="1" customHeight="1">
      <c r="B2057" s="37"/>
      <c r="C2057" s="37"/>
      <c r="D2057" s="38"/>
      <c r="E2057" s="38"/>
      <c r="F2057" s="39"/>
      <c r="K2057" s="5"/>
      <c r="L2057" s="5"/>
      <c r="M2057" s="5"/>
      <c r="N2057" s="5"/>
      <c r="O2057" s="5"/>
      <c r="P2057" s="5"/>
    </row>
    <row r="2058" spans="2:16" s="8" customFormat="1" ht="12.75" hidden="1" customHeight="1">
      <c r="B2058" s="37"/>
      <c r="C2058" s="37"/>
      <c r="D2058" s="38"/>
      <c r="E2058" s="38"/>
      <c r="F2058" s="39"/>
      <c r="K2058" s="5"/>
      <c r="L2058" s="5"/>
      <c r="M2058" s="5"/>
      <c r="N2058" s="5"/>
      <c r="O2058" s="5"/>
      <c r="P2058" s="5"/>
    </row>
    <row r="2059" spans="2:16" s="8" customFormat="1" ht="12.75" hidden="1" customHeight="1">
      <c r="B2059" s="37"/>
      <c r="C2059" s="37"/>
      <c r="D2059" s="38"/>
      <c r="E2059" s="38"/>
      <c r="F2059" s="39"/>
      <c r="K2059" s="5"/>
      <c r="L2059" s="5"/>
      <c r="M2059" s="5"/>
      <c r="N2059" s="5"/>
      <c r="O2059" s="5"/>
      <c r="P2059" s="5"/>
    </row>
    <row r="2060" spans="2:16" s="8" customFormat="1" ht="12.75" hidden="1" customHeight="1">
      <c r="B2060" s="37"/>
      <c r="C2060" s="37"/>
      <c r="D2060" s="38"/>
      <c r="E2060" s="38"/>
      <c r="F2060" s="39"/>
      <c r="K2060" s="5"/>
      <c r="L2060" s="5"/>
      <c r="M2060" s="5"/>
      <c r="N2060" s="5"/>
      <c r="O2060" s="5"/>
      <c r="P2060" s="5"/>
    </row>
    <row r="2061" spans="2:16" s="8" customFormat="1" ht="12.75" hidden="1" customHeight="1">
      <c r="B2061" s="37"/>
      <c r="C2061" s="37"/>
      <c r="D2061" s="38"/>
      <c r="E2061" s="38"/>
      <c r="F2061" s="39"/>
      <c r="K2061" s="5"/>
      <c r="L2061" s="5"/>
      <c r="M2061" s="5"/>
      <c r="N2061" s="5"/>
      <c r="O2061" s="5"/>
      <c r="P2061" s="5"/>
    </row>
    <row r="2062" spans="2:16" s="8" customFormat="1" ht="12.75" hidden="1" customHeight="1">
      <c r="B2062" s="37"/>
      <c r="C2062" s="37"/>
      <c r="D2062" s="38"/>
      <c r="E2062" s="38"/>
      <c r="F2062" s="39"/>
      <c r="K2062" s="5"/>
      <c r="L2062" s="5"/>
      <c r="M2062" s="5"/>
      <c r="N2062" s="5"/>
      <c r="O2062" s="5"/>
      <c r="P2062" s="5"/>
    </row>
    <row r="2063" spans="2:16" s="8" customFormat="1" ht="12.75" hidden="1" customHeight="1">
      <c r="B2063" s="37"/>
      <c r="C2063" s="37"/>
      <c r="D2063" s="38"/>
      <c r="E2063" s="38"/>
      <c r="F2063" s="39"/>
      <c r="K2063" s="5"/>
      <c r="L2063" s="5"/>
      <c r="M2063" s="5"/>
      <c r="N2063" s="5"/>
      <c r="O2063" s="5"/>
      <c r="P2063" s="5"/>
    </row>
    <row r="2064" spans="2:16" s="8" customFormat="1" ht="12.75" hidden="1" customHeight="1">
      <c r="B2064" s="37"/>
      <c r="C2064" s="37"/>
      <c r="D2064" s="38"/>
      <c r="E2064" s="38"/>
      <c r="F2064" s="39"/>
      <c r="K2064" s="5"/>
      <c r="L2064" s="5"/>
      <c r="M2064" s="5"/>
      <c r="N2064" s="5"/>
      <c r="O2064" s="5"/>
      <c r="P2064" s="5"/>
    </row>
    <row r="2065" spans="2:16" s="8" customFormat="1" ht="12.75" hidden="1" customHeight="1">
      <c r="B2065" s="37"/>
      <c r="C2065" s="37"/>
      <c r="D2065" s="38"/>
      <c r="E2065" s="38"/>
      <c r="F2065" s="39"/>
      <c r="K2065" s="5"/>
      <c r="L2065" s="5"/>
      <c r="M2065" s="5"/>
      <c r="N2065" s="5"/>
      <c r="O2065" s="5"/>
      <c r="P2065" s="5"/>
    </row>
    <row r="2066" spans="2:16" s="8" customFormat="1" ht="12.75" hidden="1" customHeight="1">
      <c r="B2066" s="37"/>
      <c r="C2066" s="37"/>
      <c r="D2066" s="38"/>
      <c r="E2066" s="38"/>
      <c r="F2066" s="39"/>
      <c r="K2066" s="5"/>
      <c r="L2066" s="5"/>
      <c r="M2066" s="5"/>
      <c r="N2066" s="5"/>
      <c r="O2066" s="5"/>
      <c r="P2066" s="5"/>
    </row>
    <row r="2067" spans="2:16" s="8" customFormat="1" ht="12.75" hidden="1" customHeight="1">
      <c r="B2067" s="37"/>
      <c r="C2067" s="37"/>
      <c r="D2067" s="38"/>
      <c r="E2067" s="38"/>
      <c r="F2067" s="39"/>
      <c r="K2067" s="5"/>
      <c r="L2067" s="5"/>
      <c r="M2067" s="5"/>
      <c r="N2067" s="5"/>
      <c r="O2067" s="5"/>
      <c r="P2067" s="5"/>
    </row>
    <row r="2068" spans="2:16" s="8" customFormat="1" ht="12.75" hidden="1" customHeight="1">
      <c r="B2068" s="37"/>
      <c r="C2068" s="37"/>
      <c r="D2068" s="38"/>
      <c r="E2068" s="38"/>
      <c r="F2068" s="39"/>
      <c r="K2068" s="5"/>
      <c r="L2068" s="5"/>
      <c r="M2068" s="5"/>
      <c r="N2068" s="5"/>
      <c r="O2068" s="5"/>
      <c r="P2068" s="5"/>
    </row>
    <row r="2069" spans="2:16" s="8" customFormat="1" ht="12.75" hidden="1" customHeight="1">
      <c r="B2069" s="37"/>
      <c r="C2069" s="37"/>
      <c r="D2069" s="38"/>
      <c r="E2069" s="38"/>
      <c r="F2069" s="39"/>
      <c r="K2069" s="5"/>
      <c r="L2069" s="5"/>
      <c r="M2069" s="5"/>
      <c r="N2069" s="5"/>
      <c r="O2069" s="5"/>
      <c r="P2069" s="5"/>
    </row>
    <row r="2070" spans="2:16" s="8" customFormat="1" ht="12.75" hidden="1" customHeight="1">
      <c r="B2070" s="37"/>
      <c r="C2070" s="37"/>
      <c r="D2070" s="38"/>
      <c r="E2070" s="38"/>
      <c r="F2070" s="39"/>
      <c r="K2070" s="5"/>
      <c r="L2070" s="5"/>
      <c r="M2070" s="5"/>
      <c r="N2070" s="5"/>
      <c r="O2070" s="5"/>
      <c r="P2070" s="5"/>
    </row>
    <row r="2071" spans="2:16" s="8" customFormat="1" ht="12.75" hidden="1" customHeight="1">
      <c r="B2071" s="37"/>
      <c r="C2071" s="37"/>
      <c r="D2071" s="38"/>
      <c r="E2071" s="38"/>
      <c r="F2071" s="39"/>
      <c r="K2071" s="5"/>
      <c r="L2071" s="5"/>
      <c r="M2071" s="5"/>
      <c r="N2071" s="5"/>
      <c r="O2071" s="5"/>
      <c r="P2071" s="5"/>
    </row>
    <row r="2072" spans="2:16" s="8" customFormat="1" ht="12.75" hidden="1" customHeight="1">
      <c r="B2072" s="37"/>
      <c r="C2072" s="37"/>
      <c r="D2072" s="38"/>
      <c r="E2072" s="38"/>
      <c r="F2072" s="39"/>
      <c r="K2072" s="5"/>
      <c r="L2072" s="5"/>
      <c r="M2072" s="5"/>
      <c r="N2072" s="5"/>
      <c r="O2072" s="5"/>
      <c r="P2072" s="5"/>
    </row>
    <row r="2073" spans="2:16" s="8" customFormat="1" ht="12.75" hidden="1" customHeight="1">
      <c r="B2073" s="37"/>
      <c r="C2073" s="37"/>
      <c r="D2073" s="38"/>
      <c r="E2073" s="38"/>
      <c r="F2073" s="39"/>
      <c r="K2073" s="5"/>
      <c r="L2073" s="5"/>
      <c r="M2073" s="5"/>
      <c r="N2073" s="5"/>
      <c r="O2073" s="5"/>
      <c r="P2073" s="5"/>
    </row>
    <row r="2074" spans="2:16" s="8" customFormat="1" ht="12.75" hidden="1" customHeight="1">
      <c r="B2074" s="37"/>
      <c r="C2074" s="37"/>
      <c r="D2074" s="38"/>
      <c r="E2074" s="38"/>
      <c r="F2074" s="39"/>
      <c r="K2074" s="5"/>
      <c r="L2074" s="5"/>
      <c r="M2074" s="5"/>
      <c r="N2074" s="5"/>
      <c r="O2074" s="5"/>
      <c r="P2074" s="5"/>
    </row>
    <row r="2075" spans="2:16" s="8" customFormat="1" ht="12.75" hidden="1" customHeight="1">
      <c r="B2075" s="37"/>
      <c r="C2075" s="37"/>
      <c r="D2075" s="38"/>
      <c r="E2075" s="38"/>
      <c r="F2075" s="39"/>
      <c r="K2075" s="5"/>
      <c r="L2075" s="5"/>
      <c r="M2075" s="5"/>
      <c r="N2075" s="5"/>
      <c r="O2075" s="5"/>
      <c r="P2075" s="5"/>
    </row>
    <row r="2076" spans="2:16" s="8" customFormat="1" ht="12.75" hidden="1" customHeight="1">
      <c r="B2076" s="37"/>
      <c r="C2076" s="37"/>
      <c r="D2076" s="38"/>
      <c r="E2076" s="38"/>
      <c r="F2076" s="39"/>
      <c r="K2076" s="5"/>
      <c r="L2076" s="5"/>
      <c r="M2076" s="5"/>
      <c r="N2076" s="5"/>
      <c r="O2076" s="5"/>
      <c r="P2076" s="5"/>
    </row>
    <row r="2077" spans="2:16" s="8" customFormat="1" ht="12.75" hidden="1" customHeight="1">
      <c r="B2077" s="37"/>
      <c r="C2077" s="37"/>
      <c r="D2077" s="38"/>
      <c r="E2077" s="38"/>
      <c r="F2077" s="39"/>
      <c r="K2077" s="5"/>
      <c r="L2077" s="5"/>
      <c r="M2077" s="5"/>
      <c r="N2077" s="5"/>
      <c r="O2077" s="5"/>
      <c r="P2077" s="5"/>
    </row>
    <row r="2078" spans="2:16" s="8" customFormat="1" ht="12.75" hidden="1" customHeight="1">
      <c r="B2078" s="37"/>
      <c r="C2078" s="37"/>
      <c r="D2078" s="38"/>
      <c r="E2078" s="38"/>
      <c r="F2078" s="39"/>
      <c r="K2078" s="5"/>
      <c r="L2078" s="5"/>
      <c r="M2078" s="5"/>
      <c r="N2078" s="5"/>
      <c r="O2078" s="5"/>
      <c r="P2078" s="5"/>
    </row>
    <row r="2079" spans="2:16" s="8" customFormat="1" ht="12.75" hidden="1" customHeight="1">
      <c r="B2079" s="37"/>
      <c r="C2079" s="37"/>
      <c r="D2079" s="38"/>
      <c r="E2079" s="38"/>
      <c r="F2079" s="39"/>
      <c r="K2079" s="5"/>
      <c r="L2079" s="5"/>
      <c r="M2079" s="5"/>
      <c r="N2079" s="5"/>
      <c r="O2079" s="5"/>
      <c r="P2079" s="5"/>
    </row>
    <row r="2080" spans="2:16" s="8" customFormat="1" ht="12.75" hidden="1" customHeight="1">
      <c r="B2080" s="37"/>
      <c r="C2080" s="37"/>
      <c r="D2080" s="38"/>
      <c r="E2080" s="38"/>
      <c r="F2080" s="39"/>
      <c r="K2080" s="5"/>
      <c r="L2080" s="5"/>
      <c r="M2080" s="5"/>
      <c r="N2080" s="5"/>
      <c r="O2080" s="5"/>
      <c r="P2080" s="5"/>
    </row>
    <row r="2081" spans="2:16" s="8" customFormat="1" ht="12.75" hidden="1" customHeight="1">
      <c r="B2081" s="37"/>
      <c r="C2081" s="37"/>
      <c r="D2081" s="38"/>
      <c r="E2081" s="38"/>
      <c r="F2081" s="39"/>
      <c r="K2081" s="5"/>
      <c r="L2081" s="5"/>
      <c r="M2081" s="5"/>
      <c r="N2081" s="5"/>
      <c r="O2081" s="5"/>
      <c r="P2081" s="5"/>
    </row>
    <row r="2082" spans="2:16" s="8" customFormat="1" ht="12.75" hidden="1" customHeight="1">
      <c r="B2082" s="37"/>
      <c r="C2082" s="37"/>
      <c r="D2082" s="38"/>
      <c r="E2082" s="38"/>
      <c r="F2082" s="39"/>
      <c r="K2082" s="5"/>
      <c r="L2082" s="5"/>
      <c r="M2082" s="5"/>
      <c r="N2082" s="5"/>
      <c r="O2082" s="5"/>
      <c r="P2082" s="5"/>
    </row>
    <row r="2083" spans="2:16" s="8" customFormat="1" ht="12.75" hidden="1" customHeight="1">
      <c r="B2083" s="37"/>
      <c r="C2083" s="37"/>
      <c r="D2083" s="38"/>
      <c r="E2083" s="38"/>
      <c r="F2083" s="39"/>
      <c r="K2083" s="5"/>
      <c r="L2083" s="5"/>
      <c r="M2083" s="5"/>
      <c r="N2083" s="5"/>
      <c r="O2083" s="5"/>
      <c r="P2083" s="5"/>
    </row>
    <row r="2084" spans="2:16" s="8" customFormat="1" ht="12.75" hidden="1" customHeight="1">
      <c r="B2084" s="37"/>
      <c r="C2084" s="37"/>
      <c r="D2084" s="38"/>
      <c r="E2084" s="38"/>
      <c r="F2084" s="39"/>
      <c r="K2084" s="5"/>
      <c r="L2084" s="5"/>
      <c r="M2084" s="5"/>
      <c r="N2084" s="5"/>
      <c r="O2084" s="5"/>
      <c r="P2084" s="5"/>
    </row>
    <row r="2085" spans="2:16" s="8" customFormat="1" ht="12.75" hidden="1" customHeight="1">
      <c r="B2085" s="37"/>
      <c r="C2085" s="37"/>
      <c r="D2085" s="38"/>
      <c r="E2085" s="38"/>
      <c r="F2085" s="39"/>
      <c r="K2085" s="5"/>
      <c r="L2085" s="5"/>
      <c r="M2085" s="5"/>
      <c r="N2085" s="5"/>
      <c r="O2085" s="5"/>
      <c r="P2085" s="5"/>
    </row>
    <row r="2086" spans="2:16" s="8" customFormat="1" ht="12.75" hidden="1" customHeight="1">
      <c r="B2086" s="37"/>
      <c r="C2086" s="37"/>
      <c r="D2086" s="38"/>
      <c r="E2086" s="38"/>
      <c r="F2086" s="39"/>
      <c r="K2086" s="5"/>
      <c r="L2086" s="5"/>
      <c r="M2086" s="5"/>
      <c r="N2086" s="5"/>
      <c r="O2086" s="5"/>
      <c r="P2086" s="5"/>
    </row>
    <row r="2087" spans="2:16" s="8" customFormat="1" ht="12.75" hidden="1" customHeight="1">
      <c r="B2087" s="37"/>
      <c r="C2087" s="37"/>
      <c r="D2087" s="38"/>
      <c r="E2087" s="38"/>
      <c r="F2087" s="39"/>
      <c r="K2087" s="5"/>
      <c r="L2087" s="5"/>
      <c r="M2087" s="5"/>
      <c r="N2087" s="5"/>
      <c r="O2087" s="5"/>
      <c r="P2087" s="5"/>
    </row>
    <row r="2088" spans="2:16" s="8" customFormat="1" ht="12.75" hidden="1" customHeight="1">
      <c r="B2088" s="37"/>
      <c r="C2088" s="37"/>
      <c r="D2088" s="38"/>
      <c r="E2088" s="38"/>
      <c r="F2088" s="39"/>
      <c r="K2088" s="5"/>
      <c r="L2088" s="5"/>
      <c r="M2088" s="5"/>
      <c r="N2088" s="5"/>
      <c r="O2088" s="5"/>
      <c r="P2088" s="5"/>
    </row>
    <row r="2089" spans="2:16" s="8" customFormat="1" ht="12.75" hidden="1" customHeight="1">
      <c r="B2089" s="37"/>
      <c r="C2089" s="37"/>
      <c r="D2089" s="38"/>
      <c r="E2089" s="38"/>
      <c r="F2089" s="39"/>
      <c r="K2089" s="5"/>
      <c r="L2089" s="5"/>
      <c r="M2089" s="5"/>
      <c r="N2089" s="5"/>
      <c r="O2089" s="5"/>
      <c r="P2089" s="5"/>
    </row>
    <row r="2090" spans="2:16" s="8" customFormat="1" ht="12.75" hidden="1" customHeight="1">
      <c r="B2090" s="37"/>
      <c r="C2090" s="37"/>
      <c r="D2090" s="38"/>
      <c r="E2090" s="38"/>
      <c r="F2090" s="39"/>
      <c r="K2090" s="5"/>
      <c r="L2090" s="5"/>
      <c r="M2090" s="5"/>
      <c r="N2090" s="5"/>
      <c r="O2090" s="5"/>
      <c r="P2090" s="5"/>
    </row>
    <row r="2091" spans="2:16" s="8" customFormat="1" ht="12.75" hidden="1" customHeight="1">
      <c r="B2091" s="37"/>
      <c r="C2091" s="37"/>
      <c r="D2091" s="38"/>
      <c r="E2091" s="38"/>
      <c r="F2091" s="39"/>
      <c r="K2091" s="5"/>
      <c r="L2091" s="5"/>
      <c r="M2091" s="5"/>
      <c r="N2091" s="5"/>
      <c r="O2091" s="5"/>
      <c r="P2091" s="5"/>
    </row>
    <row r="2092" spans="2:16" s="8" customFormat="1" ht="12.75" hidden="1" customHeight="1">
      <c r="B2092" s="37"/>
      <c r="C2092" s="37"/>
      <c r="D2092" s="38"/>
      <c r="E2092" s="38"/>
      <c r="F2092" s="39"/>
      <c r="K2092" s="5"/>
      <c r="L2092" s="5"/>
      <c r="M2092" s="5"/>
      <c r="N2092" s="5"/>
      <c r="O2092" s="5"/>
      <c r="P2092" s="5"/>
    </row>
    <row r="2093" spans="2:16" s="8" customFormat="1" ht="12.75" hidden="1" customHeight="1">
      <c r="B2093" s="37"/>
      <c r="C2093" s="37"/>
      <c r="D2093" s="38"/>
      <c r="E2093" s="38"/>
      <c r="F2093" s="39"/>
      <c r="K2093" s="5"/>
      <c r="L2093" s="5"/>
      <c r="M2093" s="5"/>
      <c r="N2093" s="5"/>
      <c r="O2093" s="5"/>
      <c r="P2093" s="5"/>
    </row>
    <row r="2094" spans="2:16" s="8" customFormat="1" ht="12.75" hidden="1" customHeight="1">
      <c r="B2094" s="37"/>
      <c r="C2094" s="37"/>
      <c r="D2094" s="38"/>
      <c r="E2094" s="38"/>
      <c r="F2094" s="39"/>
      <c r="K2094" s="5"/>
      <c r="L2094" s="5"/>
      <c r="M2094" s="5"/>
      <c r="N2094" s="5"/>
      <c r="O2094" s="5"/>
      <c r="P2094" s="5"/>
    </row>
    <row r="2095" spans="2:16" s="8" customFormat="1" ht="12.75" hidden="1" customHeight="1">
      <c r="B2095" s="37"/>
      <c r="C2095" s="37"/>
      <c r="D2095" s="38"/>
      <c r="E2095" s="38"/>
      <c r="F2095" s="39"/>
      <c r="K2095" s="5"/>
      <c r="L2095" s="5"/>
      <c r="M2095" s="5"/>
      <c r="N2095" s="5"/>
      <c r="O2095" s="5"/>
      <c r="P2095" s="5"/>
    </row>
    <row r="2096" spans="2:16" s="8" customFormat="1" ht="12.75" hidden="1" customHeight="1">
      <c r="B2096" s="37"/>
      <c r="C2096" s="37"/>
      <c r="D2096" s="38"/>
      <c r="E2096" s="38"/>
      <c r="F2096" s="39"/>
      <c r="K2096" s="5"/>
      <c r="L2096" s="5"/>
      <c r="M2096" s="5"/>
      <c r="N2096" s="5"/>
      <c r="O2096" s="5"/>
      <c r="P2096" s="5"/>
    </row>
    <row r="2097" spans="2:16" s="8" customFormat="1" ht="12.75" hidden="1" customHeight="1">
      <c r="B2097" s="37"/>
      <c r="C2097" s="37"/>
      <c r="D2097" s="38"/>
      <c r="E2097" s="38"/>
      <c r="F2097" s="39"/>
      <c r="K2097" s="5"/>
      <c r="L2097" s="5"/>
      <c r="M2097" s="5"/>
      <c r="N2097" s="5"/>
      <c r="O2097" s="5"/>
      <c r="P2097" s="5"/>
    </row>
    <row r="2098" spans="2:16" s="8" customFormat="1" ht="12.75" hidden="1" customHeight="1">
      <c r="B2098" s="37"/>
      <c r="C2098" s="37"/>
      <c r="D2098" s="38"/>
      <c r="E2098" s="38"/>
      <c r="F2098" s="39"/>
      <c r="K2098" s="5"/>
      <c r="L2098" s="5"/>
      <c r="M2098" s="5"/>
      <c r="N2098" s="5"/>
      <c r="O2098" s="5"/>
      <c r="P2098" s="5"/>
    </row>
    <row r="2099" spans="2:16" s="8" customFormat="1" ht="12.75" hidden="1" customHeight="1">
      <c r="B2099" s="37"/>
      <c r="C2099" s="37"/>
      <c r="D2099" s="38"/>
      <c r="E2099" s="38"/>
      <c r="F2099" s="39"/>
      <c r="K2099" s="5"/>
      <c r="L2099" s="5"/>
      <c r="M2099" s="5"/>
      <c r="N2099" s="5"/>
      <c r="O2099" s="5"/>
      <c r="P2099" s="5"/>
    </row>
    <row r="2100" spans="2:16" s="8" customFormat="1" ht="12.75" hidden="1" customHeight="1">
      <c r="B2100" s="37"/>
      <c r="C2100" s="37"/>
      <c r="D2100" s="38"/>
      <c r="E2100" s="38"/>
      <c r="F2100" s="39"/>
      <c r="K2100" s="5"/>
      <c r="L2100" s="5"/>
      <c r="M2100" s="5"/>
      <c r="N2100" s="5"/>
      <c r="O2100" s="5"/>
      <c r="P2100" s="5"/>
    </row>
    <row r="2101" spans="2:16" s="8" customFormat="1" ht="12.75" hidden="1" customHeight="1">
      <c r="B2101" s="37"/>
      <c r="C2101" s="37"/>
      <c r="D2101" s="38"/>
      <c r="E2101" s="38"/>
      <c r="F2101" s="39"/>
      <c r="K2101" s="5"/>
      <c r="L2101" s="5"/>
      <c r="M2101" s="5"/>
      <c r="N2101" s="5"/>
      <c r="O2101" s="5"/>
      <c r="P2101" s="5"/>
    </row>
    <row r="2102" spans="2:16" s="8" customFormat="1" ht="12.75" hidden="1" customHeight="1">
      <c r="B2102" s="37"/>
      <c r="C2102" s="37"/>
      <c r="D2102" s="38"/>
      <c r="E2102" s="38"/>
      <c r="F2102" s="39"/>
      <c r="K2102" s="5"/>
      <c r="L2102" s="5"/>
      <c r="M2102" s="5"/>
      <c r="N2102" s="5"/>
      <c r="O2102" s="5"/>
      <c r="P2102" s="5"/>
    </row>
    <row r="2103" spans="2:16" s="8" customFormat="1" ht="12.75" hidden="1" customHeight="1">
      <c r="B2103" s="37"/>
      <c r="C2103" s="37"/>
      <c r="D2103" s="38"/>
      <c r="E2103" s="38"/>
      <c r="F2103" s="39"/>
      <c r="K2103" s="5"/>
      <c r="L2103" s="5"/>
      <c r="M2103" s="5"/>
      <c r="N2103" s="5"/>
      <c r="O2103" s="5"/>
      <c r="P2103" s="5"/>
    </row>
    <row r="2104" spans="2:16" s="8" customFormat="1" ht="12.75" hidden="1" customHeight="1">
      <c r="B2104" s="37"/>
      <c r="C2104" s="37"/>
      <c r="D2104" s="38"/>
      <c r="E2104" s="38"/>
      <c r="F2104" s="39"/>
      <c r="K2104" s="5"/>
      <c r="L2104" s="5"/>
      <c r="M2104" s="5"/>
      <c r="N2104" s="5"/>
      <c r="O2104" s="5"/>
      <c r="P2104" s="5"/>
    </row>
    <row r="2105" spans="2:16" s="8" customFormat="1" ht="12.75" hidden="1" customHeight="1">
      <c r="B2105" s="37"/>
      <c r="C2105" s="37"/>
      <c r="D2105" s="38"/>
      <c r="E2105" s="38"/>
      <c r="F2105" s="39"/>
      <c r="K2105" s="5"/>
      <c r="L2105" s="5"/>
      <c r="M2105" s="5"/>
      <c r="N2105" s="5"/>
      <c r="O2105" s="5"/>
      <c r="P2105" s="5"/>
    </row>
    <row r="2106" spans="2:16" s="8" customFormat="1" ht="12.75" hidden="1" customHeight="1">
      <c r="B2106" s="37"/>
      <c r="C2106" s="37"/>
      <c r="D2106" s="38"/>
      <c r="E2106" s="38"/>
      <c r="F2106" s="39"/>
      <c r="K2106" s="5"/>
      <c r="L2106" s="5"/>
      <c r="M2106" s="5"/>
      <c r="N2106" s="5"/>
      <c r="O2106" s="5"/>
      <c r="P2106" s="5"/>
    </row>
    <row r="2107" spans="2:16" s="8" customFormat="1" ht="12.75" hidden="1" customHeight="1">
      <c r="B2107" s="37"/>
      <c r="C2107" s="37"/>
      <c r="D2107" s="38"/>
      <c r="E2107" s="38"/>
      <c r="F2107" s="39"/>
      <c r="K2107" s="5"/>
      <c r="L2107" s="5"/>
      <c r="M2107" s="5"/>
      <c r="N2107" s="5"/>
      <c r="O2107" s="5"/>
      <c r="P2107" s="5"/>
    </row>
    <row r="2108" spans="2:16" s="8" customFormat="1" ht="12.75" hidden="1" customHeight="1">
      <c r="B2108" s="37"/>
      <c r="C2108" s="37"/>
      <c r="D2108" s="38"/>
      <c r="E2108" s="38"/>
      <c r="F2108" s="39"/>
      <c r="K2108" s="5"/>
      <c r="L2108" s="5"/>
      <c r="M2108" s="5"/>
      <c r="N2108" s="5"/>
      <c r="O2108" s="5"/>
      <c r="P2108" s="5"/>
    </row>
    <row r="2109" spans="2:16" s="8" customFormat="1" ht="12.75" hidden="1" customHeight="1">
      <c r="B2109" s="37"/>
      <c r="C2109" s="37"/>
      <c r="D2109" s="38"/>
      <c r="E2109" s="38"/>
      <c r="F2109" s="39"/>
      <c r="K2109" s="5"/>
      <c r="L2109" s="5"/>
      <c r="M2109" s="5"/>
      <c r="N2109" s="5"/>
      <c r="O2109" s="5"/>
      <c r="P2109" s="5"/>
    </row>
    <row r="2110" spans="2:16" s="8" customFormat="1" ht="12.75" hidden="1" customHeight="1">
      <c r="B2110" s="37"/>
      <c r="C2110" s="37"/>
      <c r="D2110" s="38"/>
      <c r="E2110" s="38"/>
      <c r="F2110" s="39"/>
      <c r="K2110" s="5"/>
      <c r="L2110" s="5"/>
      <c r="M2110" s="5"/>
      <c r="N2110" s="5"/>
      <c r="O2110" s="5"/>
      <c r="P2110" s="5"/>
    </row>
    <row r="2111" spans="2:16" s="8" customFormat="1" ht="12.75" hidden="1" customHeight="1">
      <c r="B2111" s="37"/>
      <c r="C2111" s="37"/>
      <c r="D2111" s="38"/>
      <c r="E2111" s="38"/>
      <c r="F2111" s="39"/>
      <c r="K2111" s="5"/>
      <c r="L2111" s="5"/>
      <c r="M2111" s="5"/>
      <c r="N2111" s="5"/>
      <c r="O2111" s="5"/>
      <c r="P2111" s="5"/>
    </row>
    <row r="2112" spans="2:16" s="8" customFormat="1" ht="12.75" hidden="1" customHeight="1">
      <c r="B2112" s="37"/>
      <c r="C2112" s="37"/>
      <c r="D2112" s="38"/>
      <c r="E2112" s="38"/>
      <c r="F2112" s="39"/>
      <c r="K2112" s="5"/>
      <c r="L2112" s="5"/>
      <c r="M2112" s="5"/>
      <c r="N2112" s="5"/>
      <c r="O2112" s="5"/>
      <c r="P2112" s="5"/>
    </row>
    <row r="2113" spans="2:16" s="8" customFormat="1" ht="12.75" hidden="1" customHeight="1">
      <c r="B2113" s="37"/>
      <c r="C2113" s="37"/>
      <c r="D2113" s="38"/>
      <c r="E2113" s="38"/>
      <c r="F2113" s="39"/>
      <c r="K2113" s="5"/>
      <c r="L2113" s="5"/>
      <c r="M2113" s="5"/>
      <c r="N2113" s="5"/>
      <c r="O2113" s="5"/>
      <c r="P2113" s="5"/>
    </row>
    <row r="2114" spans="2:16" s="8" customFormat="1" ht="12.75" hidden="1" customHeight="1">
      <c r="B2114" s="37"/>
      <c r="C2114" s="37"/>
      <c r="D2114" s="38"/>
      <c r="E2114" s="38"/>
      <c r="F2114" s="39"/>
      <c r="K2114" s="5"/>
      <c r="L2114" s="5"/>
      <c r="M2114" s="5"/>
      <c r="N2114" s="5"/>
      <c r="O2114" s="5"/>
      <c r="P2114" s="5"/>
    </row>
    <row r="2115" spans="2:16" s="8" customFormat="1" ht="12.75" hidden="1" customHeight="1">
      <c r="B2115" s="37"/>
      <c r="C2115" s="37"/>
      <c r="D2115" s="38"/>
      <c r="E2115" s="38"/>
      <c r="F2115" s="39"/>
      <c r="K2115" s="5"/>
      <c r="L2115" s="5"/>
      <c r="M2115" s="5"/>
      <c r="N2115" s="5"/>
      <c r="O2115" s="5"/>
      <c r="P2115" s="5"/>
    </row>
    <row r="2116" spans="2:16" s="8" customFormat="1" ht="12.75" hidden="1" customHeight="1">
      <c r="B2116" s="37"/>
      <c r="C2116" s="37"/>
      <c r="D2116" s="38"/>
      <c r="E2116" s="38"/>
      <c r="F2116" s="39"/>
      <c r="K2116" s="5"/>
      <c r="L2116" s="5"/>
      <c r="M2116" s="5"/>
      <c r="N2116" s="5"/>
      <c r="O2116" s="5"/>
      <c r="P2116" s="5"/>
    </row>
    <row r="2117" spans="2:16" s="8" customFormat="1" ht="12.75" hidden="1" customHeight="1">
      <c r="B2117" s="37"/>
      <c r="C2117" s="37"/>
      <c r="D2117" s="38"/>
      <c r="E2117" s="38"/>
      <c r="F2117" s="39"/>
      <c r="K2117" s="5"/>
      <c r="L2117" s="5"/>
      <c r="M2117" s="5"/>
      <c r="N2117" s="5"/>
      <c r="O2117" s="5"/>
      <c r="P2117" s="5"/>
    </row>
    <row r="2118" spans="2:16" s="8" customFormat="1" ht="12.75" hidden="1" customHeight="1">
      <c r="B2118" s="37"/>
      <c r="C2118" s="37"/>
      <c r="D2118" s="38"/>
      <c r="E2118" s="38"/>
      <c r="F2118" s="39"/>
      <c r="K2118" s="5"/>
      <c r="L2118" s="5"/>
      <c r="M2118" s="5"/>
      <c r="N2118" s="5"/>
      <c r="O2118" s="5"/>
      <c r="P2118" s="5"/>
    </row>
    <row r="2119" spans="2:16" s="8" customFormat="1" ht="12.75" hidden="1" customHeight="1">
      <c r="B2119" s="37"/>
      <c r="C2119" s="37"/>
      <c r="D2119" s="38"/>
      <c r="E2119" s="38"/>
      <c r="F2119" s="39"/>
      <c r="K2119" s="5"/>
      <c r="L2119" s="5"/>
      <c r="M2119" s="5"/>
      <c r="N2119" s="5"/>
      <c r="O2119" s="5"/>
      <c r="P2119" s="5"/>
    </row>
    <row r="2120" spans="2:16" s="8" customFormat="1" ht="12.75" hidden="1" customHeight="1">
      <c r="B2120" s="37"/>
      <c r="C2120" s="37"/>
      <c r="D2120" s="38"/>
      <c r="E2120" s="38"/>
      <c r="F2120" s="39"/>
      <c r="K2120" s="5"/>
      <c r="L2120" s="5"/>
      <c r="M2120" s="5"/>
      <c r="N2120" s="5"/>
      <c r="O2120" s="5"/>
      <c r="P2120" s="5"/>
    </row>
    <row r="2121" spans="2:16" s="8" customFormat="1" ht="12.75" hidden="1" customHeight="1">
      <c r="B2121" s="37"/>
      <c r="C2121" s="37"/>
      <c r="D2121" s="38"/>
      <c r="E2121" s="38"/>
      <c r="F2121" s="39"/>
      <c r="K2121" s="5"/>
      <c r="L2121" s="5"/>
      <c r="M2121" s="5"/>
      <c r="N2121" s="5"/>
      <c r="O2121" s="5"/>
      <c r="P2121" s="5"/>
    </row>
    <row r="2122" spans="2:16" s="8" customFormat="1" ht="12.75" hidden="1" customHeight="1">
      <c r="B2122" s="37"/>
      <c r="C2122" s="37"/>
      <c r="D2122" s="38"/>
      <c r="E2122" s="38"/>
      <c r="F2122" s="39"/>
      <c r="K2122" s="5"/>
      <c r="L2122" s="5"/>
      <c r="M2122" s="5"/>
      <c r="N2122" s="5"/>
      <c r="O2122" s="5"/>
      <c r="P2122" s="5"/>
    </row>
    <row r="2123" spans="2:16" s="8" customFormat="1" ht="12.75" hidden="1" customHeight="1">
      <c r="B2123" s="37"/>
      <c r="C2123" s="37"/>
      <c r="D2123" s="38"/>
      <c r="E2123" s="38"/>
      <c r="F2123" s="39"/>
      <c r="K2123" s="5"/>
      <c r="L2123" s="5"/>
      <c r="M2123" s="5"/>
      <c r="N2123" s="5"/>
      <c r="O2123" s="5"/>
      <c r="P2123" s="5"/>
    </row>
    <row r="2124" spans="2:16" s="8" customFormat="1" ht="12.75" hidden="1" customHeight="1">
      <c r="B2124" s="37"/>
      <c r="C2124" s="37"/>
      <c r="D2124" s="38"/>
      <c r="E2124" s="38"/>
      <c r="F2124" s="39"/>
      <c r="K2124" s="5"/>
      <c r="L2124" s="5"/>
      <c r="M2124" s="5"/>
      <c r="N2124" s="5"/>
      <c r="O2124" s="5"/>
      <c r="P2124" s="5"/>
    </row>
    <row r="2125" spans="2:16" s="8" customFormat="1" ht="12.75" hidden="1" customHeight="1">
      <c r="B2125" s="37"/>
      <c r="C2125" s="37"/>
      <c r="D2125" s="38"/>
      <c r="E2125" s="38"/>
      <c r="F2125" s="39"/>
      <c r="K2125" s="5"/>
      <c r="L2125" s="5"/>
      <c r="M2125" s="5"/>
      <c r="N2125" s="5"/>
      <c r="O2125" s="5"/>
      <c r="P2125" s="5"/>
    </row>
    <row r="2126" spans="2:16" s="8" customFormat="1" ht="12.75" hidden="1" customHeight="1">
      <c r="B2126" s="37"/>
      <c r="C2126" s="37"/>
      <c r="D2126" s="38"/>
      <c r="E2126" s="38"/>
      <c r="F2126" s="39"/>
      <c r="K2126" s="5"/>
      <c r="L2126" s="5"/>
      <c r="M2126" s="5"/>
      <c r="N2126" s="5"/>
      <c r="O2126" s="5"/>
      <c r="P2126" s="5"/>
    </row>
    <row r="2127" spans="2:16" s="8" customFormat="1" ht="12.75" hidden="1" customHeight="1">
      <c r="B2127" s="37"/>
      <c r="C2127" s="37"/>
      <c r="D2127" s="38"/>
      <c r="E2127" s="38"/>
      <c r="F2127" s="39"/>
      <c r="K2127" s="5"/>
      <c r="L2127" s="5"/>
      <c r="M2127" s="5"/>
      <c r="N2127" s="5"/>
      <c r="O2127" s="5"/>
      <c r="P2127" s="5"/>
    </row>
    <row r="2128" spans="2:16" s="8" customFormat="1" ht="12.75" hidden="1" customHeight="1">
      <c r="B2128" s="37"/>
      <c r="C2128" s="37"/>
      <c r="D2128" s="38"/>
      <c r="E2128" s="38"/>
      <c r="F2128" s="39"/>
      <c r="K2128" s="5"/>
      <c r="L2128" s="5"/>
      <c r="M2128" s="5"/>
      <c r="N2128" s="5"/>
      <c r="O2128" s="5"/>
      <c r="P2128" s="5"/>
    </row>
    <row r="2129" spans="2:16" s="8" customFormat="1" ht="12.75" hidden="1" customHeight="1">
      <c r="B2129" s="37"/>
      <c r="C2129" s="37"/>
      <c r="D2129" s="38"/>
      <c r="E2129" s="38"/>
      <c r="F2129" s="39"/>
      <c r="K2129" s="5"/>
      <c r="L2129" s="5"/>
      <c r="M2129" s="5"/>
      <c r="N2129" s="5"/>
      <c r="O2129" s="5"/>
      <c r="P2129" s="5"/>
    </row>
    <row r="2130" spans="2:16" s="8" customFormat="1" ht="12.75" hidden="1" customHeight="1">
      <c r="B2130" s="37"/>
      <c r="C2130" s="37"/>
      <c r="D2130" s="38"/>
      <c r="E2130" s="38"/>
      <c r="F2130" s="39"/>
      <c r="K2130" s="5"/>
      <c r="L2130" s="5"/>
      <c r="M2130" s="5"/>
      <c r="N2130" s="5"/>
      <c r="O2130" s="5"/>
      <c r="P2130" s="5"/>
    </row>
    <row r="2131" spans="2:16" s="8" customFormat="1" ht="12.75" hidden="1" customHeight="1">
      <c r="B2131" s="37"/>
      <c r="C2131" s="37"/>
      <c r="D2131" s="38"/>
      <c r="E2131" s="38"/>
      <c r="F2131" s="39"/>
      <c r="K2131" s="5"/>
      <c r="L2131" s="5"/>
      <c r="M2131" s="5"/>
      <c r="N2131" s="5"/>
      <c r="O2131" s="5"/>
      <c r="P2131" s="5"/>
    </row>
    <row r="2132" spans="2:16" s="8" customFormat="1" ht="12.75" hidden="1" customHeight="1">
      <c r="B2132" s="37"/>
      <c r="C2132" s="37"/>
      <c r="D2132" s="38"/>
      <c r="E2132" s="38"/>
      <c r="F2132" s="39"/>
      <c r="K2132" s="5"/>
      <c r="L2132" s="5"/>
      <c r="M2132" s="5"/>
      <c r="N2132" s="5"/>
      <c r="O2132" s="5"/>
      <c r="P2132" s="5"/>
    </row>
    <row r="2133" spans="2:16" s="8" customFormat="1" ht="12.75" hidden="1" customHeight="1">
      <c r="B2133" s="37"/>
      <c r="C2133" s="37"/>
      <c r="D2133" s="38"/>
      <c r="E2133" s="38"/>
      <c r="F2133" s="39"/>
      <c r="K2133" s="5"/>
      <c r="L2133" s="5"/>
      <c r="M2133" s="5"/>
      <c r="N2133" s="5"/>
      <c r="O2133" s="5"/>
      <c r="P2133" s="5"/>
    </row>
    <row r="2134" spans="2:16" s="8" customFormat="1" ht="12.75" hidden="1" customHeight="1">
      <c r="B2134" s="37"/>
      <c r="C2134" s="37"/>
      <c r="D2134" s="38"/>
      <c r="E2134" s="38"/>
      <c r="F2134" s="39"/>
      <c r="K2134" s="5"/>
      <c r="L2134" s="5"/>
      <c r="M2134" s="5"/>
      <c r="N2134" s="5"/>
      <c r="O2134" s="5"/>
      <c r="P2134" s="5"/>
    </row>
    <row r="2135" spans="2:16" s="8" customFormat="1" ht="12.75" hidden="1" customHeight="1">
      <c r="B2135" s="37"/>
      <c r="C2135" s="37"/>
      <c r="D2135" s="38"/>
      <c r="E2135" s="38"/>
      <c r="F2135" s="39"/>
      <c r="K2135" s="5"/>
      <c r="L2135" s="5"/>
      <c r="M2135" s="5"/>
      <c r="N2135" s="5"/>
      <c r="O2135" s="5"/>
      <c r="P2135" s="5"/>
    </row>
    <row r="2136" spans="2:16" s="8" customFormat="1" ht="12.75" hidden="1" customHeight="1">
      <c r="B2136" s="37"/>
      <c r="C2136" s="37"/>
      <c r="D2136" s="38"/>
      <c r="E2136" s="38"/>
      <c r="F2136" s="39"/>
      <c r="K2136" s="5"/>
      <c r="L2136" s="5"/>
      <c r="M2136" s="5"/>
      <c r="N2136" s="5"/>
      <c r="O2136" s="5"/>
      <c r="P2136" s="5"/>
    </row>
    <row r="2137" spans="2:16" s="8" customFormat="1" ht="12.75" hidden="1" customHeight="1">
      <c r="B2137" s="37"/>
      <c r="C2137" s="37"/>
      <c r="D2137" s="38"/>
      <c r="E2137" s="38"/>
      <c r="F2137" s="39"/>
      <c r="K2137" s="5"/>
      <c r="L2137" s="5"/>
      <c r="M2137" s="5"/>
      <c r="N2137" s="5"/>
      <c r="O2137" s="5"/>
      <c r="P2137" s="5"/>
    </row>
    <row r="2138" spans="2:16" s="8" customFormat="1" ht="12.75" hidden="1" customHeight="1">
      <c r="B2138" s="37"/>
      <c r="C2138" s="37"/>
      <c r="D2138" s="38"/>
      <c r="E2138" s="38"/>
      <c r="F2138" s="39"/>
      <c r="K2138" s="5"/>
      <c r="L2138" s="5"/>
      <c r="M2138" s="5"/>
      <c r="N2138" s="5"/>
      <c r="O2138" s="5"/>
      <c r="P2138" s="5"/>
    </row>
    <row r="2139" spans="2:16" s="8" customFormat="1" ht="12.75" hidden="1" customHeight="1">
      <c r="B2139" s="37"/>
      <c r="C2139" s="37"/>
      <c r="D2139" s="38"/>
      <c r="E2139" s="38"/>
      <c r="F2139" s="39"/>
      <c r="K2139" s="5"/>
      <c r="L2139" s="5"/>
      <c r="M2139" s="5"/>
      <c r="N2139" s="5"/>
      <c r="O2139" s="5"/>
      <c r="P2139" s="5"/>
    </row>
    <row r="2140" spans="2:16" s="8" customFormat="1" ht="12.75" hidden="1" customHeight="1">
      <c r="B2140" s="37"/>
      <c r="C2140" s="37"/>
      <c r="D2140" s="38"/>
      <c r="E2140" s="38"/>
      <c r="F2140" s="39"/>
      <c r="K2140" s="5"/>
      <c r="L2140" s="5"/>
      <c r="M2140" s="5"/>
      <c r="N2140" s="5"/>
      <c r="O2140" s="5"/>
      <c r="P2140" s="5"/>
    </row>
    <row r="2141" spans="2:16" s="8" customFormat="1" ht="12.75" hidden="1" customHeight="1">
      <c r="B2141" s="37"/>
      <c r="C2141" s="37"/>
      <c r="D2141" s="38"/>
      <c r="E2141" s="38"/>
      <c r="F2141" s="39"/>
      <c r="K2141" s="5"/>
      <c r="L2141" s="5"/>
      <c r="M2141" s="5"/>
      <c r="N2141" s="5"/>
      <c r="O2141" s="5"/>
      <c r="P2141" s="5"/>
    </row>
    <row r="2142" spans="2:16" s="8" customFormat="1" ht="12.75" hidden="1" customHeight="1">
      <c r="B2142" s="37"/>
      <c r="C2142" s="37"/>
      <c r="D2142" s="38"/>
      <c r="E2142" s="38"/>
      <c r="F2142" s="39"/>
      <c r="K2142" s="5"/>
      <c r="L2142" s="5"/>
      <c r="M2142" s="5"/>
      <c r="N2142" s="5"/>
      <c r="O2142" s="5"/>
      <c r="P2142" s="5"/>
    </row>
    <row r="2143" spans="2:16" s="8" customFormat="1" ht="12.75" hidden="1" customHeight="1">
      <c r="B2143" s="37"/>
      <c r="C2143" s="37"/>
      <c r="D2143" s="38"/>
      <c r="E2143" s="38"/>
      <c r="F2143" s="39"/>
      <c r="K2143" s="5"/>
      <c r="L2143" s="5"/>
      <c r="M2143" s="5"/>
      <c r="N2143" s="5"/>
      <c r="O2143" s="5"/>
      <c r="P2143" s="5"/>
    </row>
    <row r="2144" spans="2:16" s="8" customFormat="1" ht="12.75" hidden="1" customHeight="1">
      <c r="B2144" s="37"/>
      <c r="C2144" s="37"/>
      <c r="D2144" s="38"/>
      <c r="E2144" s="38"/>
      <c r="F2144" s="39"/>
      <c r="K2144" s="5"/>
      <c r="L2144" s="5"/>
      <c r="M2144" s="5"/>
      <c r="N2144" s="5"/>
      <c r="O2144" s="5"/>
      <c r="P2144" s="5"/>
    </row>
    <row r="2145" spans="2:16" s="8" customFormat="1" ht="12.75" hidden="1" customHeight="1">
      <c r="B2145" s="37"/>
      <c r="C2145" s="37"/>
      <c r="D2145" s="38"/>
      <c r="E2145" s="38"/>
      <c r="F2145" s="39"/>
      <c r="K2145" s="5"/>
      <c r="L2145" s="5"/>
      <c r="M2145" s="5"/>
      <c r="N2145" s="5"/>
      <c r="O2145" s="5"/>
      <c r="P2145" s="5"/>
    </row>
    <row r="2146" spans="2:16" s="8" customFormat="1" ht="12.75" hidden="1" customHeight="1">
      <c r="B2146" s="37"/>
      <c r="C2146" s="37"/>
      <c r="D2146" s="38"/>
      <c r="E2146" s="38"/>
      <c r="F2146" s="39"/>
      <c r="K2146" s="5"/>
      <c r="L2146" s="5"/>
      <c r="M2146" s="5"/>
      <c r="N2146" s="5"/>
      <c r="O2146" s="5"/>
      <c r="P2146" s="5"/>
    </row>
    <row r="2147" spans="2:16" s="8" customFormat="1" ht="12.75" hidden="1" customHeight="1">
      <c r="B2147" s="37"/>
      <c r="C2147" s="37"/>
      <c r="D2147" s="38"/>
      <c r="E2147" s="38"/>
      <c r="F2147" s="39"/>
      <c r="K2147" s="5"/>
      <c r="L2147" s="5"/>
      <c r="M2147" s="5"/>
      <c r="N2147" s="5"/>
      <c r="O2147" s="5"/>
      <c r="P2147" s="5"/>
    </row>
    <row r="2148" spans="2:16" s="8" customFormat="1" ht="12.75" hidden="1" customHeight="1">
      <c r="B2148" s="37"/>
      <c r="C2148" s="37"/>
      <c r="D2148" s="38"/>
      <c r="E2148" s="38"/>
      <c r="F2148" s="39"/>
      <c r="K2148" s="5"/>
      <c r="L2148" s="5"/>
      <c r="M2148" s="5"/>
      <c r="N2148" s="5"/>
      <c r="O2148" s="5"/>
      <c r="P2148" s="5"/>
    </row>
    <row r="2149" spans="2:16" s="8" customFormat="1" ht="12.75" hidden="1" customHeight="1">
      <c r="B2149" s="37"/>
      <c r="C2149" s="37"/>
      <c r="D2149" s="38"/>
      <c r="E2149" s="38"/>
      <c r="F2149" s="39"/>
      <c r="K2149" s="5"/>
      <c r="L2149" s="5"/>
      <c r="M2149" s="5"/>
      <c r="N2149" s="5"/>
      <c r="O2149" s="5"/>
      <c r="P2149" s="5"/>
    </row>
    <row r="2150" spans="2:16" s="8" customFormat="1" ht="12.75" hidden="1" customHeight="1">
      <c r="B2150" s="37"/>
      <c r="C2150" s="37"/>
      <c r="D2150" s="38"/>
      <c r="E2150" s="38"/>
      <c r="F2150" s="39"/>
      <c r="K2150" s="5"/>
      <c r="L2150" s="5"/>
      <c r="M2150" s="5"/>
      <c r="N2150" s="5"/>
      <c r="O2150" s="5"/>
      <c r="P2150" s="5"/>
    </row>
    <row r="2151" spans="2:16" s="8" customFormat="1" ht="12.75" hidden="1" customHeight="1">
      <c r="B2151" s="37"/>
      <c r="C2151" s="37"/>
      <c r="D2151" s="38"/>
      <c r="E2151" s="38"/>
      <c r="F2151" s="39"/>
      <c r="K2151" s="5"/>
      <c r="L2151" s="5"/>
      <c r="M2151" s="5"/>
      <c r="N2151" s="5"/>
      <c r="O2151" s="5"/>
      <c r="P2151" s="5"/>
    </row>
    <row r="2152" spans="2:16" s="8" customFormat="1" ht="12.75" hidden="1" customHeight="1">
      <c r="B2152" s="37"/>
      <c r="C2152" s="37"/>
      <c r="D2152" s="38"/>
      <c r="E2152" s="38"/>
      <c r="F2152" s="39"/>
      <c r="K2152" s="5"/>
      <c r="L2152" s="5"/>
      <c r="M2152" s="5"/>
      <c r="N2152" s="5"/>
      <c r="O2152" s="5"/>
      <c r="P2152" s="5"/>
    </row>
    <row r="2153" spans="2:16" s="8" customFormat="1" ht="12.75" hidden="1" customHeight="1">
      <c r="B2153" s="37"/>
      <c r="C2153" s="37"/>
      <c r="D2153" s="38"/>
      <c r="E2153" s="38"/>
      <c r="F2153" s="39"/>
      <c r="K2153" s="5"/>
      <c r="L2153" s="5"/>
      <c r="M2153" s="5"/>
      <c r="N2153" s="5"/>
      <c r="O2153" s="5"/>
      <c r="P2153" s="5"/>
    </row>
    <row r="2154" spans="2:16" s="8" customFormat="1" ht="12.75" hidden="1" customHeight="1">
      <c r="B2154" s="37"/>
      <c r="C2154" s="37"/>
      <c r="D2154" s="38"/>
      <c r="E2154" s="38"/>
      <c r="F2154" s="39"/>
      <c r="K2154" s="5"/>
      <c r="L2154" s="5"/>
      <c r="M2154" s="5"/>
      <c r="N2154" s="5"/>
      <c r="O2154" s="5"/>
      <c r="P2154" s="5"/>
    </row>
    <row r="2155" spans="2:16" s="8" customFormat="1" ht="12.75" hidden="1" customHeight="1">
      <c r="B2155" s="37"/>
      <c r="C2155" s="37"/>
      <c r="D2155" s="38"/>
      <c r="E2155" s="38"/>
      <c r="F2155" s="39"/>
      <c r="K2155" s="5"/>
      <c r="L2155" s="5"/>
      <c r="M2155" s="5"/>
      <c r="N2155" s="5"/>
      <c r="O2155" s="5"/>
      <c r="P2155" s="5"/>
    </row>
    <row r="2156" spans="2:16" s="8" customFormat="1" ht="12.75" hidden="1" customHeight="1">
      <c r="B2156" s="37"/>
      <c r="C2156" s="37"/>
      <c r="D2156" s="38"/>
      <c r="E2156" s="38"/>
      <c r="F2156" s="39"/>
      <c r="K2156" s="5"/>
      <c r="L2156" s="5"/>
      <c r="M2156" s="5"/>
      <c r="N2156" s="5"/>
      <c r="O2156" s="5"/>
      <c r="P2156" s="5"/>
    </row>
    <row r="2157" spans="2:16" s="8" customFormat="1" ht="12.75" hidden="1" customHeight="1">
      <c r="B2157" s="37"/>
      <c r="C2157" s="37"/>
      <c r="D2157" s="38"/>
      <c r="E2157" s="38"/>
      <c r="F2157" s="39"/>
      <c r="K2157" s="5"/>
      <c r="L2157" s="5"/>
      <c r="M2157" s="5"/>
      <c r="N2157" s="5"/>
      <c r="O2157" s="5"/>
      <c r="P2157" s="5"/>
    </row>
    <row r="2158" spans="2:16" s="8" customFormat="1" ht="12.75" hidden="1" customHeight="1">
      <c r="B2158" s="37"/>
      <c r="C2158" s="37"/>
      <c r="D2158" s="38"/>
      <c r="E2158" s="38"/>
      <c r="F2158" s="39"/>
      <c r="K2158" s="5"/>
      <c r="L2158" s="5"/>
      <c r="M2158" s="5"/>
      <c r="N2158" s="5"/>
      <c r="O2158" s="5"/>
      <c r="P2158" s="5"/>
    </row>
    <row r="2159" spans="2:16" s="8" customFormat="1" ht="12.75" hidden="1" customHeight="1">
      <c r="B2159" s="37"/>
      <c r="C2159" s="37"/>
      <c r="D2159" s="38"/>
      <c r="E2159" s="38"/>
      <c r="F2159" s="39"/>
      <c r="K2159" s="5"/>
      <c r="L2159" s="5"/>
      <c r="M2159" s="5"/>
      <c r="N2159" s="5"/>
      <c r="O2159" s="5"/>
      <c r="P2159" s="5"/>
    </row>
    <row r="2160" spans="2:16" s="8" customFormat="1" ht="12.75" hidden="1" customHeight="1">
      <c r="B2160" s="37"/>
      <c r="C2160" s="37"/>
      <c r="D2160" s="38"/>
      <c r="E2160" s="38"/>
      <c r="F2160" s="39"/>
      <c r="K2160" s="5"/>
      <c r="L2160" s="5"/>
      <c r="M2160" s="5"/>
      <c r="N2160" s="5"/>
      <c r="O2160" s="5"/>
      <c r="P2160" s="5"/>
    </row>
    <row r="2161" spans="2:16" s="8" customFormat="1" ht="12.75" hidden="1" customHeight="1">
      <c r="B2161" s="37"/>
      <c r="C2161" s="37"/>
      <c r="D2161" s="38"/>
      <c r="E2161" s="38"/>
      <c r="F2161" s="39"/>
      <c r="K2161" s="5"/>
      <c r="L2161" s="5"/>
      <c r="M2161" s="5"/>
      <c r="N2161" s="5"/>
      <c r="O2161" s="5"/>
      <c r="P2161" s="5"/>
    </row>
    <row r="2162" spans="2:16" s="8" customFormat="1" ht="12.75" hidden="1" customHeight="1">
      <c r="B2162" s="37"/>
      <c r="C2162" s="37"/>
      <c r="D2162" s="38"/>
      <c r="E2162" s="38"/>
      <c r="F2162" s="39"/>
      <c r="K2162" s="5"/>
      <c r="L2162" s="5"/>
      <c r="M2162" s="5"/>
      <c r="N2162" s="5"/>
      <c r="O2162" s="5"/>
      <c r="P2162" s="5"/>
    </row>
    <row r="2163" spans="2:16" s="8" customFormat="1" ht="12.75" hidden="1" customHeight="1">
      <c r="B2163" s="37"/>
      <c r="C2163" s="37"/>
      <c r="D2163" s="38"/>
      <c r="E2163" s="38"/>
      <c r="F2163" s="39"/>
      <c r="K2163" s="5"/>
      <c r="L2163" s="5"/>
      <c r="M2163" s="5"/>
      <c r="N2163" s="5"/>
      <c r="O2163" s="5"/>
      <c r="P2163" s="5"/>
    </row>
    <row r="2164" spans="2:16" s="8" customFormat="1" ht="12.75" hidden="1" customHeight="1">
      <c r="B2164" s="37"/>
      <c r="C2164" s="37"/>
      <c r="D2164" s="38"/>
      <c r="E2164" s="38"/>
      <c r="F2164" s="39"/>
      <c r="K2164" s="5"/>
      <c r="L2164" s="5"/>
      <c r="M2164" s="5"/>
      <c r="N2164" s="5"/>
      <c r="O2164" s="5"/>
      <c r="P2164" s="5"/>
    </row>
    <row r="2165" spans="2:16" s="8" customFormat="1" ht="12.75" hidden="1" customHeight="1">
      <c r="B2165" s="37"/>
      <c r="C2165" s="37"/>
      <c r="D2165" s="38"/>
      <c r="E2165" s="38"/>
      <c r="F2165" s="39"/>
      <c r="K2165" s="5"/>
      <c r="L2165" s="5"/>
      <c r="M2165" s="5"/>
      <c r="N2165" s="5"/>
      <c r="O2165" s="5"/>
      <c r="P2165" s="5"/>
    </row>
    <row r="2166" spans="2:16" s="8" customFormat="1" ht="12.75" hidden="1" customHeight="1">
      <c r="B2166" s="37"/>
      <c r="C2166" s="37"/>
      <c r="D2166" s="38"/>
      <c r="E2166" s="38"/>
      <c r="F2166" s="39"/>
      <c r="K2166" s="5"/>
      <c r="L2166" s="5"/>
      <c r="M2166" s="5"/>
      <c r="N2166" s="5"/>
      <c r="O2166" s="5"/>
      <c r="P2166" s="5"/>
    </row>
    <row r="2167" spans="2:16" s="8" customFormat="1" ht="12.75" hidden="1" customHeight="1">
      <c r="B2167" s="37"/>
      <c r="C2167" s="37"/>
      <c r="D2167" s="38"/>
      <c r="E2167" s="38"/>
      <c r="F2167" s="39"/>
      <c r="K2167" s="5"/>
      <c r="L2167" s="5"/>
      <c r="M2167" s="5"/>
      <c r="N2167" s="5"/>
      <c r="O2167" s="5"/>
      <c r="P2167" s="5"/>
    </row>
    <row r="2168" spans="2:16" s="8" customFormat="1" ht="12.75" hidden="1" customHeight="1">
      <c r="B2168" s="37"/>
      <c r="C2168" s="37"/>
      <c r="D2168" s="38"/>
      <c r="E2168" s="38"/>
      <c r="F2168" s="39"/>
      <c r="K2168" s="5"/>
      <c r="L2168" s="5"/>
      <c r="M2168" s="5"/>
      <c r="N2168" s="5"/>
      <c r="O2168" s="5"/>
      <c r="P2168" s="5"/>
    </row>
    <row r="2169" spans="2:16" s="8" customFormat="1" ht="12.75" hidden="1" customHeight="1">
      <c r="B2169" s="37"/>
      <c r="C2169" s="37"/>
      <c r="D2169" s="38"/>
      <c r="E2169" s="38"/>
      <c r="F2169" s="39"/>
      <c r="K2169" s="5"/>
      <c r="L2169" s="5"/>
      <c r="M2169" s="5"/>
      <c r="N2169" s="5"/>
      <c r="O2169" s="5"/>
      <c r="P2169" s="5"/>
    </row>
    <row r="2170" spans="2:16" s="8" customFormat="1" ht="12.75" hidden="1" customHeight="1">
      <c r="B2170" s="37"/>
      <c r="C2170" s="37"/>
      <c r="D2170" s="38"/>
      <c r="E2170" s="38"/>
      <c r="F2170" s="39"/>
      <c r="K2170" s="5"/>
      <c r="L2170" s="5"/>
      <c r="M2170" s="5"/>
      <c r="N2170" s="5"/>
      <c r="O2170" s="5"/>
      <c r="P2170" s="5"/>
    </row>
    <row r="2171" spans="2:16" s="8" customFormat="1" ht="12.75" hidden="1" customHeight="1">
      <c r="B2171" s="37"/>
      <c r="C2171" s="37"/>
      <c r="D2171" s="38"/>
      <c r="E2171" s="38"/>
      <c r="F2171" s="39"/>
      <c r="K2171" s="5"/>
      <c r="L2171" s="5"/>
      <c r="M2171" s="5"/>
      <c r="N2171" s="5"/>
      <c r="O2171" s="5"/>
      <c r="P2171" s="5"/>
    </row>
    <row r="2172" spans="2:16" s="8" customFormat="1" ht="12.75" hidden="1" customHeight="1">
      <c r="B2172" s="37"/>
      <c r="C2172" s="37"/>
      <c r="D2172" s="38"/>
      <c r="E2172" s="38"/>
      <c r="F2172" s="39"/>
      <c r="K2172" s="5"/>
      <c r="L2172" s="5"/>
      <c r="M2172" s="5"/>
      <c r="N2172" s="5"/>
      <c r="O2172" s="5"/>
      <c r="P2172" s="5"/>
    </row>
    <row r="2173" spans="2:16" s="8" customFormat="1" ht="12.75" hidden="1" customHeight="1">
      <c r="B2173" s="37"/>
      <c r="C2173" s="37"/>
      <c r="D2173" s="38"/>
      <c r="E2173" s="38"/>
      <c r="F2173" s="39"/>
      <c r="K2173" s="5"/>
      <c r="L2173" s="5"/>
      <c r="M2173" s="5"/>
      <c r="N2173" s="5"/>
      <c r="O2173" s="5"/>
      <c r="P2173" s="5"/>
    </row>
    <row r="2174" spans="2:16" s="8" customFormat="1" ht="12.75" hidden="1" customHeight="1">
      <c r="B2174" s="37"/>
      <c r="C2174" s="37"/>
      <c r="D2174" s="38"/>
      <c r="E2174" s="38"/>
      <c r="F2174" s="39"/>
      <c r="K2174" s="5"/>
      <c r="L2174" s="5"/>
      <c r="M2174" s="5"/>
      <c r="N2174" s="5"/>
      <c r="O2174" s="5"/>
      <c r="P2174" s="5"/>
    </row>
    <row r="2175" spans="2:16" s="8" customFormat="1" ht="12.75" hidden="1" customHeight="1">
      <c r="B2175" s="37"/>
      <c r="C2175" s="37"/>
      <c r="D2175" s="38"/>
      <c r="E2175" s="38"/>
      <c r="F2175" s="39"/>
      <c r="K2175" s="5"/>
      <c r="L2175" s="5"/>
      <c r="M2175" s="5"/>
      <c r="N2175" s="5"/>
      <c r="O2175" s="5"/>
      <c r="P2175" s="5"/>
    </row>
    <row r="2176" spans="2:16" s="8" customFormat="1" ht="12.75" hidden="1" customHeight="1">
      <c r="B2176" s="37"/>
      <c r="C2176" s="37"/>
      <c r="D2176" s="38"/>
      <c r="E2176" s="38"/>
      <c r="F2176" s="39"/>
      <c r="K2176" s="5"/>
      <c r="L2176" s="5"/>
      <c r="M2176" s="5"/>
      <c r="N2176" s="5"/>
      <c r="O2176" s="5"/>
      <c r="P2176" s="5"/>
    </row>
    <row r="2177" spans="2:16" s="8" customFormat="1" ht="12.75" hidden="1" customHeight="1">
      <c r="B2177" s="37"/>
      <c r="C2177" s="37"/>
      <c r="D2177" s="38"/>
      <c r="E2177" s="38"/>
      <c r="F2177" s="39"/>
      <c r="K2177" s="5"/>
      <c r="L2177" s="5"/>
      <c r="M2177" s="5"/>
      <c r="N2177" s="5"/>
      <c r="O2177" s="5"/>
      <c r="P2177" s="5"/>
    </row>
    <row r="2178" spans="2:16" s="8" customFormat="1" ht="12.75" hidden="1" customHeight="1">
      <c r="B2178" s="37"/>
      <c r="C2178" s="37"/>
      <c r="D2178" s="38"/>
      <c r="E2178" s="38"/>
      <c r="F2178" s="39"/>
      <c r="K2178" s="5"/>
      <c r="L2178" s="5"/>
      <c r="M2178" s="5"/>
      <c r="N2178" s="5"/>
      <c r="O2178" s="5"/>
      <c r="P2178" s="5"/>
    </row>
    <row r="2179" spans="2:16" s="8" customFormat="1" ht="12.75" hidden="1" customHeight="1">
      <c r="B2179" s="37"/>
      <c r="C2179" s="37"/>
      <c r="D2179" s="38"/>
      <c r="E2179" s="38"/>
      <c r="F2179" s="39"/>
      <c r="K2179" s="5"/>
      <c r="L2179" s="5"/>
      <c r="M2179" s="5"/>
      <c r="N2179" s="5"/>
      <c r="O2179" s="5"/>
      <c r="P2179" s="5"/>
    </row>
    <row r="2180" spans="2:16" s="8" customFormat="1" ht="12.75" hidden="1" customHeight="1">
      <c r="B2180" s="37"/>
      <c r="C2180" s="37"/>
      <c r="D2180" s="38"/>
      <c r="E2180" s="38"/>
      <c r="F2180" s="39"/>
      <c r="K2180" s="5"/>
      <c r="L2180" s="5"/>
      <c r="M2180" s="5"/>
      <c r="N2180" s="5"/>
      <c r="O2180" s="5"/>
      <c r="P2180" s="5"/>
    </row>
    <row r="2181" spans="2:16" s="8" customFormat="1" ht="12.75" hidden="1" customHeight="1">
      <c r="B2181" s="37"/>
      <c r="C2181" s="37"/>
      <c r="D2181" s="38"/>
      <c r="E2181" s="38"/>
      <c r="F2181" s="39"/>
      <c r="K2181" s="5"/>
      <c r="L2181" s="5"/>
      <c r="M2181" s="5"/>
      <c r="N2181" s="5"/>
      <c r="O2181" s="5"/>
      <c r="P2181" s="5"/>
    </row>
    <row r="2182" spans="2:16" s="8" customFormat="1" ht="12.75" hidden="1" customHeight="1">
      <c r="B2182" s="37"/>
      <c r="C2182" s="37"/>
      <c r="D2182" s="38"/>
      <c r="E2182" s="38"/>
      <c r="F2182" s="39"/>
      <c r="K2182" s="5"/>
      <c r="L2182" s="5"/>
      <c r="M2182" s="5"/>
      <c r="N2182" s="5"/>
      <c r="O2182" s="5"/>
      <c r="P2182" s="5"/>
    </row>
    <row r="2183" spans="2:16" s="8" customFormat="1" ht="12.75" hidden="1" customHeight="1">
      <c r="B2183" s="37"/>
      <c r="C2183" s="37"/>
      <c r="D2183" s="38"/>
      <c r="E2183" s="38"/>
      <c r="F2183" s="39"/>
      <c r="K2183" s="5"/>
      <c r="L2183" s="5"/>
      <c r="M2183" s="5"/>
      <c r="N2183" s="5"/>
      <c r="O2183" s="5"/>
      <c r="P2183" s="5"/>
    </row>
    <row r="2184" spans="2:16" s="8" customFormat="1" ht="12.75" hidden="1" customHeight="1">
      <c r="B2184" s="37"/>
      <c r="C2184" s="37"/>
      <c r="D2184" s="38"/>
      <c r="E2184" s="38"/>
      <c r="F2184" s="39"/>
      <c r="K2184" s="5"/>
      <c r="L2184" s="5"/>
      <c r="M2184" s="5"/>
      <c r="N2184" s="5"/>
      <c r="O2184" s="5"/>
      <c r="P2184" s="5"/>
    </row>
    <row r="2185" spans="2:16" s="8" customFormat="1" ht="12.75" hidden="1" customHeight="1">
      <c r="B2185" s="37"/>
      <c r="C2185" s="37"/>
      <c r="D2185" s="38"/>
      <c r="E2185" s="38"/>
      <c r="F2185" s="39"/>
      <c r="K2185" s="5"/>
      <c r="L2185" s="5"/>
      <c r="M2185" s="5"/>
      <c r="N2185" s="5"/>
      <c r="O2185" s="5"/>
      <c r="P2185" s="5"/>
    </row>
    <row r="2186" spans="2:16" s="8" customFormat="1" ht="12.75" hidden="1" customHeight="1">
      <c r="B2186" s="37"/>
      <c r="C2186" s="37"/>
      <c r="D2186" s="38"/>
      <c r="E2186" s="38"/>
      <c r="F2186" s="39"/>
      <c r="K2186" s="5"/>
      <c r="L2186" s="5"/>
      <c r="M2186" s="5"/>
      <c r="N2186" s="5"/>
      <c r="O2186" s="5"/>
      <c r="P2186" s="5"/>
    </row>
    <row r="2187" spans="2:16" s="8" customFormat="1" ht="12.75" hidden="1" customHeight="1">
      <c r="B2187" s="37"/>
      <c r="C2187" s="37"/>
      <c r="D2187" s="38"/>
      <c r="E2187" s="38"/>
      <c r="F2187" s="39"/>
      <c r="K2187" s="5"/>
      <c r="L2187" s="5"/>
      <c r="M2187" s="5"/>
      <c r="N2187" s="5"/>
      <c r="O2187" s="5"/>
      <c r="P2187" s="5"/>
    </row>
    <row r="2188" spans="2:16" s="8" customFormat="1" ht="12.75" hidden="1" customHeight="1">
      <c r="B2188" s="37"/>
      <c r="C2188" s="37"/>
      <c r="D2188" s="38"/>
      <c r="E2188" s="38"/>
      <c r="F2188" s="39"/>
      <c r="K2188" s="5"/>
      <c r="L2188" s="5"/>
      <c r="M2188" s="5"/>
      <c r="N2188" s="5"/>
      <c r="O2188" s="5"/>
      <c r="P2188" s="5"/>
    </row>
    <row r="2189" spans="2:16" s="8" customFormat="1" ht="12.75" hidden="1" customHeight="1">
      <c r="B2189" s="37"/>
      <c r="C2189" s="37"/>
      <c r="D2189" s="38"/>
      <c r="E2189" s="38"/>
      <c r="F2189" s="39"/>
      <c r="K2189" s="5"/>
      <c r="L2189" s="5"/>
      <c r="M2189" s="5"/>
      <c r="N2189" s="5"/>
      <c r="O2189" s="5"/>
      <c r="P2189" s="5"/>
    </row>
    <row r="2190" spans="2:16" s="8" customFormat="1" ht="12.75" hidden="1" customHeight="1">
      <c r="B2190" s="37"/>
      <c r="C2190" s="37"/>
      <c r="D2190" s="38"/>
      <c r="E2190" s="38"/>
      <c r="F2190" s="39"/>
      <c r="K2190" s="5"/>
      <c r="L2190" s="5"/>
      <c r="M2190" s="5"/>
      <c r="N2190" s="5"/>
      <c r="O2190" s="5"/>
      <c r="P2190" s="5"/>
    </row>
    <row r="2191" spans="2:16" s="8" customFormat="1" ht="12.75" hidden="1" customHeight="1">
      <c r="B2191" s="37"/>
      <c r="C2191" s="37"/>
      <c r="D2191" s="38"/>
      <c r="E2191" s="38"/>
      <c r="F2191" s="39"/>
      <c r="K2191" s="5"/>
      <c r="L2191" s="5"/>
      <c r="M2191" s="5"/>
      <c r="N2191" s="5"/>
      <c r="O2191" s="5"/>
      <c r="P2191" s="5"/>
    </row>
    <row r="2192" spans="2:16" s="8" customFormat="1" ht="12.75" hidden="1" customHeight="1">
      <c r="B2192" s="37"/>
      <c r="C2192" s="37"/>
      <c r="D2192" s="38"/>
      <c r="E2192" s="38"/>
      <c r="F2192" s="39"/>
      <c r="K2192" s="5"/>
      <c r="L2192" s="5"/>
      <c r="M2192" s="5"/>
      <c r="N2192" s="5"/>
      <c r="O2192" s="5"/>
      <c r="P2192" s="5"/>
    </row>
    <row r="2193" spans="2:16" s="8" customFormat="1" ht="12.75" hidden="1" customHeight="1">
      <c r="B2193" s="37"/>
      <c r="C2193" s="37"/>
      <c r="D2193" s="38"/>
      <c r="E2193" s="38"/>
      <c r="F2193" s="39"/>
      <c r="K2193" s="5"/>
      <c r="L2193" s="5"/>
      <c r="M2193" s="5"/>
      <c r="N2193" s="5"/>
      <c r="O2193" s="5"/>
      <c r="P2193" s="5"/>
    </row>
    <row r="2194" spans="2:16" s="8" customFormat="1" ht="12.75" hidden="1" customHeight="1">
      <c r="B2194" s="37"/>
      <c r="C2194" s="37"/>
      <c r="D2194" s="38"/>
      <c r="E2194" s="38"/>
      <c r="F2194" s="39"/>
      <c r="K2194" s="5"/>
      <c r="L2194" s="5"/>
      <c r="M2194" s="5"/>
      <c r="N2194" s="5"/>
      <c r="O2194" s="5"/>
      <c r="P2194" s="5"/>
    </row>
    <row r="2195" spans="2:16" s="8" customFormat="1" ht="12.75" hidden="1" customHeight="1">
      <c r="B2195" s="37"/>
      <c r="C2195" s="37"/>
      <c r="D2195" s="38"/>
      <c r="E2195" s="38"/>
      <c r="F2195" s="39"/>
      <c r="K2195" s="5"/>
      <c r="L2195" s="5"/>
      <c r="M2195" s="5"/>
      <c r="N2195" s="5"/>
      <c r="O2195" s="5"/>
      <c r="P2195" s="5"/>
    </row>
    <row r="2196" spans="2:16" s="8" customFormat="1" ht="12.75" hidden="1" customHeight="1">
      <c r="B2196" s="37"/>
      <c r="C2196" s="37"/>
      <c r="D2196" s="38"/>
      <c r="E2196" s="38"/>
      <c r="F2196" s="39"/>
      <c r="K2196" s="5"/>
      <c r="L2196" s="5"/>
      <c r="M2196" s="5"/>
      <c r="N2196" s="5"/>
      <c r="O2196" s="5"/>
      <c r="P2196" s="5"/>
    </row>
    <row r="2197" spans="2:16" s="8" customFormat="1" ht="12.75" hidden="1" customHeight="1">
      <c r="B2197" s="37"/>
      <c r="C2197" s="37"/>
      <c r="D2197" s="38"/>
      <c r="E2197" s="38"/>
      <c r="F2197" s="39"/>
      <c r="K2197" s="5"/>
      <c r="L2197" s="5"/>
      <c r="M2197" s="5"/>
      <c r="N2197" s="5"/>
      <c r="O2197" s="5"/>
      <c r="P2197" s="5"/>
    </row>
    <row r="2198" spans="2:16" s="8" customFormat="1" ht="12.75" hidden="1" customHeight="1">
      <c r="B2198" s="37"/>
      <c r="C2198" s="37"/>
      <c r="D2198" s="38"/>
      <c r="E2198" s="38"/>
      <c r="F2198" s="39"/>
      <c r="K2198" s="5"/>
      <c r="L2198" s="5"/>
      <c r="M2198" s="5"/>
      <c r="N2198" s="5"/>
      <c r="O2198" s="5"/>
      <c r="P2198" s="5"/>
    </row>
    <row r="2199" spans="2:16" s="8" customFormat="1" ht="12.75" hidden="1" customHeight="1">
      <c r="B2199" s="37"/>
      <c r="C2199" s="37"/>
      <c r="D2199" s="38"/>
      <c r="E2199" s="38"/>
      <c r="F2199" s="39"/>
      <c r="K2199" s="5"/>
      <c r="L2199" s="5"/>
      <c r="M2199" s="5"/>
      <c r="N2199" s="5"/>
      <c r="O2199" s="5"/>
      <c r="P2199" s="5"/>
    </row>
    <row r="2200" spans="2:16" s="8" customFormat="1" ht="12.75" hidden="1" customHeight="1">
      <c r="B2200" s="37"/>
      <c r="C2200" s="37"/>
      <c r="D2200" s="38"/>
      <c r="E2200" s="38"/>
      <c r="F2200" s="39"/>
      <c r="K2200" s="5"/>
      <c r="L2200" s="5"/>
      <c r="M2200" s="5"/>
      <c r="N2200" s="5"/>
      <c r="O2200" s="5"/>
      <c r="P2200" s="5"/>
    </row>
    <row r="2201" spans="2:16" s="8" customFormat="1" ht="12.75" hidden="1" customHeight="1">
      <c r="B2201" s="37"/>
      <c r="C2201" s="37"/>
      <c r="D2201" s="38"/>
      <c r="E2201" s="38"/>
      <c r="F2201" s="39"/>
      <c r="K2201" s="5"/>
      <c r="L2201" s="5"/>
      <c r="M2201" s="5"/>
      <c r="N2201" s="5"/>
      <c r="O2201" s="5"/>
      <c r="P2201" s="5"/>
    </row>
    <row r="2202" spans="2:16" s="8" customFormat="1" ht="12.75" hidden="1" customHeight="1">
      <c r="B2202" s="37"/>
      <c r="C2202" s="37"/>
      <c r="D2202" s="38"/>
      <c r="E2202" s="38"/>
      <c r="F2202" s="39"/>
      <c r="K2202" s="5"/>
      <c r="L2202" s="5"/>
      <c r="M2202" s="5"/>
      <c r="N2202" s="5"/>
      <c r="O2202" s="5"/>
      <c r="P2202" s="5"/>
    </row>
    <row r="2203" spans="2:16" s="8" customFormat="1" ht="12.75" hidden="1" customHeight="1">
      <c r="B2203" s="37"/>
      <c r="C2203" s="37"/>
      <c r="D2203" s="38"/>
      <c r="E2203" s="38"/>
      <c r="F2203" s="39"/>
      <c r="K2203" s="5"/>
      <c r="L2203" s="5"/>
      <c r="M2203" s="5"/>
      <c r="N2203" s="5"/>
      <c r="O2203" s="5"/>
      <c r="P2203" s="5"/>
    </row>
    <row r="2204" spans="2:16" s="8" customFormat="1" ht="12.75" hidden="1" customHeight="1">
      <c r="B2204" s="37"/>
      <c r="C2204" s="37"/>
      <c r="D2204" s="38"/>
      <c r="E2204" s="38"/>
      <c r="F2204" s="39"/>
      <c r="K2204" s="5"/>
      <c r="L2204" s="5"/>
      <c r="M2204" s="5"/>
      <c r="N2204" s="5"/>
      <c r="O2204" s="5"/>
      <c r="P2204" s="5"/>
    </row>
    <row r="2205" spans="2:16" s="8" customFormat="1" ht="12.75" hidden="1" customHeight="1">
      <c r="B2205" s="37"/>
      <c r="C2205" s="37"/>
      <c r="D2205" s="38"/>
      <c r="E2205" s="38"/>
      <c r="F2205" s="39"/>
      <c r="K2205" s="5"/>
      <c r="L2205" s="5"/>
      <c r="M2205" s="5"/>
      <c r="N2205" s="5"/>
      <c r="O2205" s="5"/>
      <c r="P2205" s="5"/>
    </row>
    <row r="2206" spans="2:16" s="8" customFormat="1" ht="12.75" hidden="1" customHeight="1">
      <c r="B2206" s="37"/>
      <c r="C2206" s="37"/>
      <c r="D2206" s="38"/>
      <c r="E2206" s="38"/>
      <c r="F2206" s="39"/>
      <c r="K2206" s="5"/>
      <c r="L2206" s="5"/>
      <c r="M2206" s="5"/>
      <c r="N2206" s="5"/>
      <c r="O2206" s="5"/>
      <c r="P2206" s="5"/>
    </row>
    <row r="2207" spans="2:16" s="8" customFormat="1" ht="12.75" hidden="1" customHeight="1">
      <c r="B2207" s="37"/>
      <c r="C2207" s="37"/>
      <c r="D2207" s="38"/>
      <c r="E2207" s="38"/>
      <c r="F2207" s="39"/>
      <c r="K2207" s="5"/>
      <c r="L2207" s="5"/>
      <c r="M2207" s="5"/>
      <c r="N2207" s="5"/>
      <c r="O2207" s="5"/>
      <c r="P2207" s="5"/>
    </row>
    <row r="2208" spans="2:16" s="8" customFormat="1" ht="12.75" hidden="1" customHeight="1">
      <c r="B2208" s="37"/>
      <c r="C2208" s="37"/>
      <c r="D2208" s="38"/>
      <c r="E2208" s="38"/>
      <c r="F2208" s="39"/>
      <c r="K2208" s="5"/>
      <c r="L2208" s="5"/>
      <c r="M2208" s="5"/>
      <c r="N2208" s="5"/>
      <c r="O2208" s="5"/>
      <c r="P2208" s="5"/>
    </row>
    <row r="2209" spans="2:16" s="8" customFormat="1" ht="12.75" hidden="1" customHeight="1">
      <c r="B2209" s="37"/>
      <c r="C2209" s="37"/>
      <c r="D2209" s="38"/>
      <c r="E2209" s="38"/>
      <c r="F2209" s="39"/>
      <c r="K2209" s="5"/>
      <c r="L2209" s="5"/>
      <c r="M2209" s="5"/>
      <c r="N2209" s="5"/>
      <c r="O2209" s="5"/>
      <c r="P2209" s="5"/>
    </row>
    <row r="2210" spans="2:16" s="8" customFormat="1" ht="12.75" hidden="1" customHeight="1">
      <c r="B2210" s="37"/>
      <c r="C2210" s="37"/>
      <c r="D2210" s="38"/>
      <c r="E2210" s="38"/>
      <c r="F2210" s="39"/>
      <c r="K2210" s="5"/>
      <c r="L2210" s="5"/>
      <c r="M2210" s="5"/>
      <c r="N2210" s="5"/>
      <c r="O2210" s="5"/>
      <c r="P2210" s="5"/>
    </row>
    <row r="2211" spans="2:16" s="8" customFormat="1" ht="12.75" hidden="1" customHeight="1">
      <c r="B2211" s="37"/>
      <c r="C2211" s="37"/>
      <c r="D2211" s="38"/>
      <c r="E2211" s="38"/>
      <c r="F2211" s="39"/>
      <c r="K2211" s="5"/>
      <c r="L2211" s="5"/>
      <c r="M2211" s="5"/>
      <c r="N2211" s="5"/>
      <c r="O2211" s="5"/>
      <c r="P2211" s="5"/>
    </row>
    <row r="2212" spans="2:16" s="8" customFormat="1" ht="12.75" hidden="1" customHeight="1">
      <c r="B2212" s="37"/>
      <c r="C2212" s="37"/>
      <c r="D2212" s="38"/>
      <c r="E2212" s="38"/>
      <c r="F2212" s="39"/>
      <c r="K2212" s="5"/>
      <c r="L2212" s="5"/>
      <c r="M2212" s="5"/>
      <c r="N2212" s="5"/>
      <c r="O2212" s="5"/>
      <c r="P2212" s="5"/>
    </row>
    <row r="2213" spans="2:16" s="8" customFormat="1" ht="12.75" hidden="1" customHeight="1">
      <c r="B2213" s="37"/>
      <c r="C2213" s="37"/>
      <c r="D2213" s="38"/>
      <c r="E2213" s="38"/>
      <c r="F2213" s="39"/>
      <c r="K2213" s="5"/>
      <c r="L2213" s="5"/>
      <c r="M2213" s="5"/>
      <c r="N2213" s="5"/>
      <c r="O2213" s="5"/>
      <c r="P2213" s="5"/>
    </row>
    <row r="2214" spans="2:16" s="8" customFormat="1" ht="12.75" hidden="1" customHeight="1">
      <c r="B2214" s="37"/>
      <c r="C2214" s="37"/>
      <c r="D2214" s="38"/>
      <c r="E2214" s="38"/>
      <c r="F2214" s="39"/>
      <c r="K2214" s="5"/>
      <c r="L2214" s="5"/>
      <c r="M2214" s="5"/>
      <c r="N2214" s="5"/>
      <c r="O2214" s="5"/>
      <c r="P2214" s="5"/>
    </row>
    <row r="2215" spans="2:16" s="8" customFormat="1" ht="12.75" hidden="1" customHeight="1">
      <c r="B2215" s="37"/>
      <c r="C2215" s="37"/>
      <c r="D2215" s="38"/>
      <c r="E2215" s="38"/>
      <c r="F2215" s="39"/>
      <c r="K2215" s="5"/>
      <c r="L2215" s="5"/>
      <c r="M2215" s="5"/>
      <c r="N2215" s="5"/>
      <c r="O2215" s="5"/>
      <c r="P2215" s="5"/>
    </row>
    <row r="2216" spans="2:16" s="8" customFormat="1" ht="12.75" hidden="1" customHeight="1">
      <c r="B2216" s="37"/>
      <c r="C2216" s="37"/>
      <c r="D2216" s="38"/>
      <c r="E2216" s="38"/>
      <c r="F2216" s="39"/>
      <c r="K2216" s="5"/>
      <c r="L2216" s="5"/>
      <c r="M2216" s="5"/>
      <c r="N2216" s="5"/>
      <c r="O2216" s="5"/>
      <c r="P2216" s="5"/>
    </row>
    <row r="2217" spans="2:16" s="8" customFormat="1" ht="12.75" hidden="1" customHeight="1">
      <c r="B2217" s="37"/>
      <c r="C2217" s="37"/>
      <c r="D2217" s="38"/>
      <c r="E2217" s="38"/>
      <c r="F2217" s="39"/>
      <c r="K2217" s="5"/>
      <c r="L2217" s="5"/>
      <c r="M2217" s="5"/>
      <c r="N2217" s="5"/>
      <c r="O2217" s="5"/>
      <c r="P2217" s="5"/>
    </row>
    <row r="2218" spans="2:16" s="8" customFormat="1" ht="12.75" hidden="1" customHeight="1">
      <c r="B2218" s="37"/>
      <c r="C2218" s="37"/>
      <c r="D2218" s="38"/>
      <c r="E2218" s="38"/>
      <c r="F2218" s="39"/>
      <c r="K2218" s="5"/>
      <c r="L2218" s="5"/>
      <c r="M2218" s="5"/>
      <c r="N2218" s="5"/>
      <c r="O2218" s="5"/>
      <c r="P2218" s="5"/>
    </row>
    <row r="2219" spans="2:16" s="8" customFormat="1" ht="12.75" hidden="1" customHeight="1">
      <c r="B2219" s="37"/>
      <c r="C2219" s="37"/>
      <c r="D2219" s="38"/>
      <c r="E2219" s="38"/>
      <c r="F2219" s="39"/>
      <c r="K2219" s="5"/>
      <c r="L2219" s="5"/>
      <c r="M2219" s="5"/>
      <c r="N2219" s="5"/>
      <c r="O2219" s="5"/>
      <c r="P2219" s="5"/>
    </row>
    <row r="2220" spans="2:16" s="8" customFormat="1" ht="12.75" hidden="1" customHeight="1">
      <c r="B2220" s="37"/>
      <c r="C2220" s="37"/>
      <c r="D2220" s="38"/>
      <c r="E2220" s="38"/>
      <c r="F2220" s="39"/>
      <c r="K2220" s="5"/>
      <c r="L2220" s="5"/>
      <c r="M2220" s="5"/>
      <c r="N2220" s="5"/>
      <c r="O2220" s="5"/>
      <c r="P2220" s="5"/>
    </row>
    <row r="2221" spans="2:16" s="8" customFormat="1" ht="12.75" hidden="1" customHeight="1">
      <c r="B2221" s="37"/>
      <c r="C2221" s="37"/>
      <c r="D2221" s="38"/>
      <c r="E2221" s="38"/>
      <c r="F2221" s="39"/>
      <c r="K2221" s="5"/>
      <c r="L2221" s="5"/>
      <c r="M2221" s="5"/>
      <c r="N2221" s="5"/>
      <c r="O2221" s="5"/>
      <c r="P2221" s="5"/>
    </row>
    <row r="2222" spans="2:16" s="8" customFormat="1" ht="12.75" hidden="1" customHeight="1">
      <c r="B2222" s="37"/>
      <c r="C2222" s="37"/>
      <c r="D2222" s="38"/>
      <c r="E2222" s="38"/>
      <c r="F2222" s="39"/>
      <c r="K2222" s="5"/>
      <c r="L2222" s="5"/>
      <c r="M2222" s="5"/>
      <c r="N2222" s="5"/>
      <c r="O2222" s="5"/>
      <c r="P2222" s="5"/>
    </row>
    <row r="2223" spans="2:16" s="8" customFormat="1" ht="12.75" hidden="1" customHeight="1">
      <c r="B2223" s="37"/>
      <c r="C2223" s="37"/>
      <c r="D2223" s="38"/>
      <c r="E2223" s="38"/>
      <c r="F2223" s="39"/>
      <c r="K2223" s="5"/>
      <c r="L2223" s="5"/>
      <c r="M2223" s="5"/>
      <c r="N2223" s="5"/>
      <c r="O2223" s="5"/>
      <c r="P2223" s="5"/>
    </row>
    <row r="2224" spans="2:16" s="8" customFormat="1" ht="12.75" hidden="1" customHeight="1">
      <c r="B2224" s="37"/>
      <c r="C2224" s="37"/>
      <c r="D2224" s="38"/>
      <c r="E2224" s="38"/>
      <c r="F2224" s="39"/>
      <c r="K2224" s="5"/>
      <c r="L2224" s="5"/>
      <c r="M2224" s="5"/>
      <c r="N2224" s="5"/>
      <c r="O2224" s="5"/>
      <c r="P2224" s="5"/>
    </row>
    <row r="2225" spans="2:16" s="8" customFormat="1" ht="12.75" hidden="1" customHeight="1">
      <c r="B2225" s="37"/>
      <c r="C2225" s="37"/>
      <c r="D2225" s="38"/>
      <c r="E2225" s="38"/>
      <c r="F2225" s="39"/>
      <c r="K2225" s="5"/>
      <c r="L2225" s="5"/>
      <c r="M2225" s="5"/>
      <c r="N2225" s="5"/>
      <c r="O2225" s="5"/>
      <c r="P2225" s="5"/>
    </row>
    <row r="2226" spans="2:16" s="8" customFormat="1" ht="12.75" hidden="1" customHeight="1">
      <c r="B2226" s="37"/>
      <c r="C2226" s="37"/>
      <c r="D2226" s="38"/>
      <c r="E2226" s="38"/>
      <c r="F2226" s="39"/>
      <c r="K2226" s="5"/>
      <c r="L2226" s="5"/>
      <c r="M2226" s="5"/>
      <c r="N2226" s="5"/>
      <c r="O2226" s="5"/>
      <c r="P2226" s="5"/>
    </row>
    <row r="2227" spans="2:16" s="8" customFormat="1" ht="12.75" hidden="1" customHeight="1">
      <c r="B2227" s="37"/>
      <c r="C2227" s="37"/>
      <c r="D2227" s="38"/>
      <c r="E2227" s="38"/>
      <c r="F2227" s="39"/>
      <c r="K2227" s="5"/>
      <c r="L2227" s="5"/>
      <c r="M2227" s="5"/>
      <c r="N2227" s="5"/>
      <c r="O2227" s="5"/>
      <c r="P2227" s="5"/>
    </row>
    <row r="2228" spans="2:16" s="8" customFormat="1" ht="12.75" hidden="1" customHeight="1">
      <c r="B2228" s="37"/>
      <c r="C2228" s="37"/>
      <c r="D2228" s="38"/>
      <c r="E2228" s="38"/>
      <c r="F2228" s="39"/>
      <c r="K2228" s="5"/>
      <c r="L2228" s="5"/>
      <c r="M2228" s="5"/>
      <c r="N2228" s="5"/>
      <c r="O2228" s="5"/>
      <c r="P2228" s="5"/>
    </row>
    <row r="2229" spans="2:16" s="8" customFormat="1" ht="12.75" hidden="1" customHeight="1">
      <c r="B2229" s="37"/>
      <c r="C2229" s="37"/>
      <c r="D2229" s="38"/>
      <c r="E2229" s="38"/>
      <c r="F2229" s="39"/>
      <c r="K2229" s="5"/>
      <c r="L2229" s="5"/>
      <c r="M2229" s="5"/>
      <c r="N2229" s="5"/>
      <c r="O2229" s="5"/>
      <c r="P2229" s="5"/>
    </row>
    <row r="2230" spans="2:16" s="8" customFormat="1" ht="12.75" hidden="1" customHeight="1">
      <c r="B2230" s="37"/>
      <c r="C2230" s="37"/>
      <c r="D2230" s="38"/>
      <c r="E2230" s="38"/>
      <c r="F2230" s="39"/>
      <c r="K2230" s="5"/>
      <c r="L2230" s="5"/>
      <c r="M2230" s="5"/>
      <c r="N2230" s="5"/>
      <c r="O2230" s="5"/>
      <c r="P2230" s="5"/>
    </row>
    <row r="2231" spans="2:16" s="8" customFormat="1" ht="12.75" hidden="1" customHeight="1">
      <c r="B2231" s="37"/>
      <c r="C2231" s="37"/>
      <c r="D2231" s="38"/>
      <c r="E2231" s="38"/>
      <c r="F2231" s="39"/>
      <c r="K2231" s="5"/>
      <c r="L2231" s="5"/>
      <c r="M2231" s="5"/>
      <c r="N2231" s="5"/>
      <c r="O2231" s="5"/>
      <c r="P2231" s="5"/>
    </row>
    <row r="2232" spans="2:16" s="8" customFormat="1" ht="12.75" hidden="1" customHeight="1">
      <c r="B2232" s="37"/>
      <c r="C2232" s="37"/>
      <c r="D2232" s="38"/>
      <c r="E2232" s="38"/>
      <c r="F2232" s="39"/>
      <c r="K2232" s="5"/>
      <c r="L2232" s="5"/>
      <c r="M2232" s="5"/>
      <c r="N2232" s="5"/>
      <c r="O2232" s="5"/>
      <c r="P2232" s="5"/>
    </row>
    <row r="2233" spans="2:16" s="8" customFormat="1" ht="12.75" hidden="1" customHeight="1">
      <c r="B2233" s="37"/>
      <c r="C2233" s="37"/>
      <c r="D2233" s="38"/>
      <c r="E2233" s="38"/>
      <c r="F2233" s="39"/>
      <c r="K2233" s="5"/>
      <c r="L2233" s="5"/>
      <c r="M2233" s="5"/>
      <c r="N2233" s="5"/>
      <c r="O2233" s="5"/>
      <c r="P2233" s="5"/>
    </row>
    <row r="2234" spans="2:16" s="8" customFormat="1" ht="12.75" hidden="1" customHeight="1">
      <c r="B2234" s="37"/>
      <c r="C2234" s="37"/>
      <c r="D2234" s="38"/>
      <c r="E2234" s="38"/>
      <c r="F2234" s="39"/>
      <c r="K2234" s="5"/>
      <c r="L2234" s="5"/>
      <c r="M2234" s="5"/>
      <c r="N2234" s="5"/>
      <c r="O2234" s="5"/>
      <c r="P2234" s="5"/>
    </row>
    <row r="2235" spans="2:16" s="8" customFormat="1" ht="12.75" hidden="1" customHeight="1">
      <c r="B2235" s="37"/>
      <c r="C2235" s="37"/>
      <c r="D2235" s="38"/>
      <c r="E2235" s="38"/>
      <c r="F2235" s="39"/>
      <c r="K2235" s="5"/>
      <c r="L2235" s="5"/>
      <c r="M2235" s="5"/>
      <c r="N2235" s="5"/>
      <c r="O2235" s="5"/>
      <c r="P2235" s="5"/>
    </row>
    <row r="2236" spans="2:16" s="8" customFormat="1" ht="12.75" hidden="1" customHeight="1">
      <c r="B2236" s="37"/>
      <c r="C2236" s="37"/>
      <c r="D2236" s="38"/>
      <c r="E2236" s="38"/>
      <c r="F2236" s="39"/>
      <c r="K2236" s="5"/>
      <c r="L2236" s="5"/>
      <c r="M2236" s="5"/>
      <c r="N2236" s="5"/>
      <c r="O2236" s="5"/>
      <c r="P2236" s="5"/>
    </row>
    <row r="2237" spans="2:16" s="8" customFormat="1" ht="12.75" hidden="1" customHeight="1">
      <c r="B2237" s="37"/>
      <c r="C2237" s="37"/>
      <c r="D2237" s="38"/>
      <c r="E2237" s="38"/>
      <c r="F2237" s="39"/>
      <c r="K2237" s="5"/>
      <c r="L2237" s="5"/>
      <c r="M2237" s="5"/>
      <c r="N2237" s="5"/>
      <c r="O2237" s="5"/>
      <c r="P2237" s="5"/>
    </row>
    <row r="2238" spans="2:16" s="8" customFormat="1" ht="12.75" hidden="1" customHeight="1">
      <c r="B2238" s="37"/>
      <c r="C2238" s="37"/>
      <c r="D2238" s="38"/>
      <c r="E2238" s="38"/>
      <c r="F2238" s="39"/>
      <c r="K2238" s="5"/>
      <c r="L2238" s="5"/>
      <c r="M2238" s="5"/>
      <c r="N2238" s="5"/>
      <c r="O2238" s="5"/>
      <c r="P2238" s="5"/>
    </row>
    <row r="2239" spans="2:16" s="8" customFormat="1" ht="12.75" hidden="1" customHeight="1">
      <c r="B2239" s="37"/>
      <c r="C2239" s="37"/>
      <c r="D2239" s="38"/>
      <c r="E2239" s="38"/>
      <c r="F2239" s="39"/>
      <c r="K2239" s="5"/>
      <c r="L2239" s="5"/>
      <c r="M2239" s="5"/>
      <c r="N2239" s="5"/>
      <c r="O2239" s="5"/>
      <c r="P2239" s="5"/>
    </row>
    <row r="2240" spans="2:16" s="8" customFormat="1" ht="12.75" hidden="1" customHeight="1">
      <c r="B2240" s="37"/>
      <c r="C2240" s="37"/>
      <c r="D2240" s="38"/>
      <c r="E2240" s="38"/>
      <c r="F2240" s="39"/>
      <c r="K2240" s="5"/>
      <c r="L2240" s="5"/>
      <c r="M2240" s="5"/>
      <c r="N2240" s="5"/>
      <c r="O2240" s="5"/>
      <c r="P2240" s="5"/>
    </row>
    <row r="2241" spans="2:16" s="8" customFormat="1" ht="12.75" hidden="1" customHeight="1">
      <c r="B2241" s="37"/>
      <c r="C2241" s="37"/>
      <c r="D2241" s="38"/>
      <c r="E2241" s="38"/>
      <c r="F2241" s="39"/>
      <c r="K2241" s="5"/>
      <c r="L2241" s="5"/>
      <c r="M2241" s="5"/>
      <c r="N2241" s="5"/>
      <c r="O2241" s="5"/>
      <c r="P2241" s="5"/>
    </row>
    <row r="2242" spans="2:16" s="8" customFormat="1" ht="12.75" hidden="1" customHeight="1">
      <c r="B2242" s="37"/>
      <c r="C2242" s="37"/>
      <c r="D2242" s="38"/>
      <c r="E2242" s="38"/>
      <c r="F2242" s="39"/>
      <c r="K2242" s="5"/>
      <c r="L2242" s="5"/>
      <c r="M2242" s="5"/>
      <c r="N2242" s="5"/>
      <c r="O2242" s="5"/>
      <c r="P2242" s="5"/>
    </row>
    <row r="2243" spans="2:16" s="8" customFormat="1" ht="12.75" hidden="1" customHeight="1">
      <c r="B2243" s="37"/>
      <c r="C2243" s="37"/>
      <c r="D2243" s="38"/>
      <c r="E2243" s="38"/>
      <c r="F2243" s="39"/>
      <c r="K2243" s="5"/>
      <c r="L2243" s="5"/>
      <c r="M2243" s="5"/>
      <c r="N2243" s="5"/>
      <c r="O2243" s="5"/>
      <c r="P2243" s="5"/>
    </row>
    <row r="2244" spans="2:16" s="8" customFormat="1" ht="12.75" hidden="1" customHeight="1">
      <c r="B2244" s="37"/>
      <c r="C2244" s="37"/>
      <c r="D2244" s="38"/>
      <c r="E2244" s="38"/>
      <c r="F2244" s="39"/>
      <c r="K2244" s="5"/>
      <c r="L2244" s="5"/>
      <c r="M2244" s="5"/>
      <c r="N2244" s="5"/>
      <c r="O2244" s="5"/>
      <c r="P2244" s="5"/>
    </row>
    <row r="2245" spans="2:16" s="8" customFormat="1" ht="12.75" hidden="1" customHeight="1">
      <c r="B2245" s="37"/>
      <c r="C2245" s="37"/>
      <c r="D2245" s="38"/>
      <c r="E2245" s="38"/>
      <c r="F2245" s="39"/>
      <c r="K2245" s="5"/>
      <c r="L2245" s="5"/>
      <c r="M2245" s="5"/>
      <c r="N2245" s="5"/>
      <c r="O2245" s="5"/>
      <c r="P2245" s="5"/>
    </row>
    <row r="2246" spans="2:16" s="8" customFormat="1" ht="12.75" hidden="1" customHeight="1">
      <c r="B2246" s="37"/>
      <c r="C2246" s="37"/>
      <c r="D2246" s="38"/>
      <c r="E2246" s="38"/>
      <c r="F2246" s="39"/>
      <c r="K2246" s="5"/>
      <c r="L2246" s="5"/>
      <c r="M2246" s="5"/>
      <c r="N2246" s="5"/>
      <c r="O2246" s="5"/>
      <c r="P2246" s="5"/>
    </row>
    <row r="2247" spans="2:16" s="8" customFormat="1" ht="12.75" hidden="1" customHeight="1">
      <c r="B2247" s="37"/>
      <c r="C2247" s="37"/>
      <c r="D2247" s="38"/>
      <c r="E2247" s="38"/>
      <c r="F2247" s="39"/>
      <c r="K2247" s="5"/>
      <c r="L2247" s="5"/>
      <c r="M2247" s="5"/>
      <c r="N2247" s="5"/>
      <c r="O2247" s="5"/>
      <c r="P2247" s="5"/>
    </row>
    <row r="2248" spans="2:16" s="8" customFormat="1" ht="12.75" hidden="1" customHeight="1">
      <c r="B2248" s="37"/>
      <c r="C2248" s="37"/>
      <c r="D2248" s="38"/>
      <c r="E2248" s="38"/>
      <c r="F2248" s="39"/>
      <c r="K2248" s="5"/>
      <c r="L2248" s="5"/>
      <c r="M2248" s="5"/>
      <c r="N2248" s="5"/>
      <c r="O2248" s="5"/>
      <c r="P2248" s="5"/>
    </row>
    <row r="2249" spans="2:16" s="8" customFormat="1" ht="12.75" hidden="1" customHeight="1">
      <c r="B2249" s="37"/>
      <c r="C2249" s="37"/>
      <c r="D2249" s="38"/>
      <c r="E2249" s="38"/>
      <c r="F2249" s="39"/>
      <c r="K2249" s="5"/>
      <c r="L2249" s="5"/>
      <c r="M2249" s="5"/>
      <c r="N2249" s="5"/>
      <c r="O2249" s="5"/>
      <c r="P2249" s="5"/>
    </row>
    <row r="2250" spans="2:16" s="8" customFormat="1" ht="12.75" hidden="1" customHeight="1">
      <c r="B2250" s="37"/>
      <c r="C2250" s="37"/>
      <c r="D2250" s="38"/>
      <c r="E2250" s="38"/>
      <c r="F2250" s="39"/>
      <c r="K2250" s="5"/>
      <c r="L2250" s="5"/>
      <c r="M2250" s="5"/>
      <c r="N2250" s="5"/>
      <c r="O2250" s="5"/>
      <c r="P2250" s="5"/>
    </row>
    <row r="2251" spans="2:16" s="8" customFormat="1" ht="12.75" hidden="1" customHeight="1">
      <c r="B2251" s="37"/>
      <c r="C2251" s="37"/>
      <c r="D2251" s="38"/>
      <c r="E2251" s="38"/>
      <c r="F2251" s="39"/>
      <c r="K2251" s="5"/>
      <c r="L2251" s="5"/>
      <c r="M2251" s="5"/>
      <c r="N2251" s="5"/>
      <c r="O2251" s="5"/>
      <c r="P2251" s="5"/>
    </row>
    <row r="2252" spans="2:16" s="8" customFormat="1" ht="12.75" hidden="1" customHeight="1">
      <c r="B2252" s="37"/>
      <c r="C2252" s="37"/>
      <c r="D2252" s="38"/>
      <c r="E2252" s="38"/>
      <c r="F2252" s="39"/>
      <c r="K2252" s="5"/>
      <c r="L2252" s="5"/>
      <c r="M2252" s="5"/>
      <c r="N2252" s="5"/>
      <c r="O2252" s="5"/>
      <c r="P2252" s="5"/>
    </row>
    <row r="2253" spans="2:16" s="8" customFormat="1" ht="12.75" hidden="1" customHeight="1">
      <c r="B2253" s="37"/>
      <c r="C2253" s="37"/>
      <c r="D2253" s="38"/>
      <c r="E2253" s="38"/>
      <c r="F2253" s="39"/>
      <c r="K2253" s="5"/>
      <c r="L2253" s="5"/>
      <c r="M2253" s="5"/>
      <c r="N2253" s="5"/>
      <c r="O2253" s="5"/>
      <c r="P2253" s="5"/>
    </row>
    <row r="2254" spans="2:16" s="8" customFormat="1" ht="12.75" hidden="1" customHeight="1">
      <c r="B2254" s="37"/>
      <c r="C2254" s="37"/>
      <c r="D2254" s="38"/>
      <c r="E2254" s="38"/>
      <c r="F2254" s="39"/>
      <c r="K2254" s="5"/>
      <c r="L2254" s="5"/>
      <c r="M2254" s="5"/>
      <c r="N2254" s="5"/>
      <c r="O2254" s="5"/>
      <c r="P2254" s="5"/>
    </row>
    <row r="2255" spans="2:16" s="8" customFormat="1" ht="12.75" hidden="1" customHeight="1">
      <c r="B2255" s="37"/>
      <c r="C2255" s="37"/>
      <c r="D2255" s="38"/>
      <c r="E2255" s="38"/>
      <c r="F2255" s="39"/>
      <c r="K2255" s="5"/>
      <c r="L2255" s="5"/>
      <c r="M2255" s="5"/>
      <c r="N2255" s="5"/>
      <c r="O2255" s="5"/>
      <c r="P2255" s="5"/>
    </row>
    <row r="2256" spans="2:16" s="8" customFormat="1" ht="12.75" hidden="1" customHeight="1">
      <c r="B2256" s="37"/>
      <c r="C2256" s="37"/>
      <c r="D2256" s="38"/>
      <c r="E2256" s="38"/>
      <c r="F2256" s="39"/>
      <c r="K2256" s="5"/>
      <c r="L2256" s="5"/>
      <c r="M2256" s="5"/>
      <c r="N2256" s="5"/>
      <c r="O2256" s="5"/>
      <c r="P2256" s="5"/>
    </row>
    <row r="2257" spans="2:16" s="8" customFormat="1" ht="12.75" hidden="1" customHeight="1">
      <c r="B2257" s="37"/>
      <c r="C2257" s="37"/>
      <c r="D2257" s="38"/>
      <c r="E2257" s="38"/>
      <c r="F2257" s="39"/>
      <c r="K2257" s="5"/>
      <c r="L2257" s="5"/>
      <c r="M2257" s="5"/>
      <c r="N2257" s="5"/>
      <c r="O2257" s="5"/>
      <c r="P2257" s="5"/>
    </row>
    <row r="2258" spans="2:16" s="8" customFormat="1" ht="12.75" hidden="1" customHeight="1">
      <c r="B2258" s="37"/>
      <c r="C2258" s="37"/>
      <c r="D2258" s="38"/>
      <c r="E2258" s="38"/>
      <c r="F2258" s="39"/>
      <c r="K2258" s="5"/>
      <c r="L2258" s="5"/>
      <c r="M2258" s="5"/>
      <c r="N2258" s="5"/>
      <c r="O2258" s="5"/>
      <c r="P2258" s="5"/>
    </row>
    <row r="2259" spans="2:16" s="8" customFormat="1" ht="12.75" hidden="1" customHeight="1">
      <c r="B2259" s="37"/>
      <c r="C2259" s="37"/>
      <c r="D2259" s="38"/>
      <c r="E2259" s="38"/>
      <c r="F2259" s="39"/>
      <c r="K2259" s="5"/>
      <c r="L2259" s="5"/>
      <c r="M2259" s="5"/>
      <c r="N2259" s="5"/>
      <c r="O2259" s="5"/>
      <c r="P2259" s="5"/>
    </row>
    <row r="2260" spans="2:16" s="8" customFormat="1" ht="12.75" hidden="1" customHeight="1">
      <c r="B2260" s="37"/>
      <c r="C2260" s="37"/>
      <c r="D2260" s="38"/>
      <c r="E2260" s="38"/>
      <c r="F2260" s="39"/>
      <c r="K2260" s="5"/>
      <c r="L2260" s="5"/>
      <c r="M2260" s="5"/>
      <c r="N2260" s="5"/>
      <c r="O2260" s="5"/>
      <c r="P2260" s="5"/>
    </row>
    <row r="2261" spans="2:16" s="8" customFormat="1" ht="12.75" hidden="1" customHeight="1">
      <c r="B2261" s="37"/>
      <c r="C2261" s="37"/>
      <c r="D2261" s="38"/>
      <c r="E2261" s="38"/>
      <c r="F2261" s="39"/>
      <c r="K2261" s="5"/>
      <c r="L2261" s="5"/>
      <c r="M2261" s="5"/>
      <c r="N2261" s="5"/>
      <c r="O2261" s="5"/>
      <c r="P2261" s="5"/>
    </row>
    <row r="2262" spans="2:16" s="8" customFormat="1" ht="12.75" hidden="1" customHeight="1">
      <c r="B2262" s="37"/>
      <c r="C2262" s="37"/>
      <c r="D2262" s="38"/>
      <c r="E2262" s="38"/>
      <c r="F2262" s="39"/>
      <c r="K2262" s="5"/>
      <c r="L2262" s="5"/>
      <c r="M2262" s="5"/>
      <c r="N2262" s="5"/>
      <c r="O2262" s="5"/>
      <c r="P2262" s="5"/>
    </row>
    <row r="2263" spans="2:16" s="8" customFormat="1" ht="12.75" hidden="1" customHeight="1">
      <c r="B2263" s="37"/>
      <c r="C2263" s="37"/>
      <c r="D2263" s="38"/>
      <c r="E2263" s="38"/>
      <c r="F2263" s="39"/>
      <c r="K2263" s="5"/>
      <c r="L2263" s="5"/>
      <c r="M2263" s="5"/>
      <c r="N2263" s="5"/>
      <c r="O2263" s="5"/>
      <c r="P2263" s="5"/>
    </row>
    <row r="2264" spans="2:16" s="8" customFormat="1" ht="12.75" hidden="1" customHeight="1">
      <c r="B2264" s="37"/>
      <c r="C2264" s="37"/>
      <c r="D2264" s="38"/>
      <c r="E2264" s="38"/>
      <c r="F2264" s="39"/>
      <c r="K2264" s="5"/>
      <c r="L2264" s="5"/>
      <c r="M2264" s="5"/>
      <c r="N2264" s="5"/>
      <c r="O2264" s="5"/>
      <c r="P2264" s="5"/>
    </row>
    <row r="2265" spans="2:16" s="8" customFormat="1" ht="12.75" hidden="1" customHeight="1">
      <c r="B2265" s="37"/>
      <c r="C2265" s="37"/>
      <c r="D2265" s="38"/>
      <c r="E2265" s="38"/>
      <c r="F2265" s="39"/>
      <c r="K2265" s="5"/>
      <c r="L2265" s="5"/>
      <c r="M2265" s="5"/>
      <c r="N2265" s="5"/>
      <c r="O2265" s="5"/>
      <c r="P2265" s="5"/>
    </row>
    <row r="2266" spans="2:16" s="8" customFormat="1" ht="12.75" hidden="1" customHeight="1">
      <c r="B2266" s="37"/>
      <c r="C2266" s="37"/>
      <c r="D2266" s="38"/>
      <c r="E2266" s="38"/>
      <c r="F2266" s="39"/>
      <c r="K2266" s="5"/>
      <c r="L2266" s="5"/>
      <c r="M2266" s="5"/>
      <c r="N2266" s="5"/>
      <c r="O2266" s="5"/>
      <c r="P2266" s="5"/>
    </row>
    <row r="2267" spans="2:16" s="8" customFormat="1" ht="12.75" hidden="1" customHeight="1">
      <c r="B2267" s="37"/>
      <c r="C2267" s="37"/>
      <c r="D2267" s="38"/>
      <c r="E2267" s="38"/>
      <c r="F2267" s="39"/>
      <c r="K2267" s="5"/>
      <c r="L2267" s="5"/>
      <c r="M2267" s="5"/>
      <c r="N2267" s="5"/>
      <c r="O2267" s="5"/>
      <c r="P2267" s="5"/>
    </row>
    <row r="2268" spans="2:16" s="8" customFormat="1" ht="12.75" hidden="1" customHeight="1">
      <c r="B2268" s="37"/>
      <c r="C2268" s="37"/>
      <c r="D2268" s="38"/>
      <c r="E2268" s="38"/>
      <c r="F2268" s="39"/>
      <c r="K2268" s="5"/>
      <c r="L2268" s="5"/>
      <c r="M2268" s="5"/>
      <c r="N2268" s="5"/>
      <c r="O2268" s="5"/>
      <c r="P2268" s="5"/>
    </row>
    <row r="2269" spans="2:16" s="8" customFormat="1" ht="12.75" hidden="1" customHeight="1">
      <c r="B2269" s="37"/>
      <c r="C2269" s="37"/>
      <c r="D2269" s="38"/>
      <c r="E2269" s="38"/>
      <c r="F2269" s="39"/>
      <c r="K2269" s="5"/>
      <c r="L2269" s="5"/>
      <c r="M2269" s="5"/>
      <c r="N2269" s="5"/>
      <c r="O2269" s="5"/>
      <c r="P2269" s="5"/>
    </row>
    <row r="2270" spans="2:16" s="8" customFormat="1" ht="12.75" hidden="1" customHeight="1">
      <c r="B2270" s="37"/>
      <c r="C2270" s="37"/>
      <c r="D2270" s="38"/>
      <c r="E2270" s="38"/>
      <c r="F2270" s="39"/>
      <c r="K2270" s="5"/>
      <c r="L2270" s="5"/>
      <c r="M2270" s="5"/>
      <c r="N2270" s="5"/>
      <c r="O2270" s="5"/>
      <c r="P2270" s="5"/>
    </row>
    <row r="2271" spans="2:16" s="8" customFormat="1" ht="12.75" hidden="1" customHeight="1">
      <c r="B2271" s="37"/>
      <c r="C2271" s="37"/>
      <c r="D2271" s="38"/>
      <c r="E2271" s="38"/>
      <c r="F2271" s="39"/>
      <c r="K2271" s="5"/>
      <c r="L2271" s="5"/>
      <c r="M2271" s="5"/>
      <c r="N2271" s="5"/>
      <c r="O2271" s="5"/>
      <c r="P2271" s="5"/>
    </row>
    <row r="2272" spans="2:16" s="8" customFormat="1" ht="12.75" hidden="1" customHeight="1">
      <c r="B2272" s="37"/>
      <c r="C2272" s="37"/>
      <c r="D2272" s="38"/>
      <c r="E2272" s="38"/>
      <c r="F2272" s="39"/>
      <c r="K2272" s="5"/>
      <c r="L2272" s="5"/>
      <c r="M2272" s="5"/>
      <c r="N2272" s="5"/>
      <c r="O2272" s="5"/>
      <c r="P2272" s="5"/>
    </row>
    <row r="2273" spans="2:16" s="8" customFormat="1" ht="12.75" hidden="1" customHeight="1">
      <c r="B2273" s="37"/>
      <c r="C2273" s="37"/>
      <c r="D2273" s="38"/>
      <c r="E2273" s="38"/>
      <c r="F2273" s="39"/>
      <c r="K2273" s="5"/>
      <c r="L2273" s="5"/>
      <c r="M2273" s="5"/>
      <c r="N2273" s="5"/>
      <c r="O2273" s="5"/>
      <c r="P2273" s="5"/>
    </row>
    <row r="2274" spans="2:16" s="8" customFormat="1" ht="12.75" hidden="1" customHeight="1">
      <c r="B2274" s="37"/>
      <c r="C2274" s="37"/>
      <c r="D2274" s="38"/>
      <c r="E2274" s="38"/>
      <c r="F2274" s="39"/>
      <c r="K2274" s="5"/>
      <c r="L2274" s="5"/>
      <c r="M2274" s="5"/>
      <c r="N2274" s="5"/>
      <c r="O2274" s="5"/>
      <c r="P2274" s="5"/>
    </row>
    <row r="2275" spans="2:16" s="8" customFormat="1" ht="12.75" hidden="1" customHeight="1">
      <c r="B2275" s="37"/>
      <c r="C2275" s="37"/>
      <c r="D2275" s="38"/>
      <c r="E2275" s="38"/>
      <c r="F2275" s="39"/>
      <c r="K2275" s="5"/>
      <c r="L2275" s="5"/>
      <c r="M2275" s="5"/>
      <c r="N2275" s="5"/>
      <c r="O2275" s="5"/>
      <c r="P2275" s="5"/>
    </row>
    <row r="2276" spans="2:16" s="8" customFormat="1" ht="12.75" hidden="1" customHeight="1">
      <c r="B2276" s="37"/>
      <c r="C2276" s="37"/>
      <c r="D2276" s="38"/>
      <c r="E2276" s="38"/>
      <c r="F2276" s="39"/>
      <c r="K2276" s="5"/>
      <c r="L2276" s="5"/>
      <c r="M2276" s="5"/>
      <c r="N2276" s="5"/>
      <c r="O2276" s="5"/>
      <c r="P2276" s="5"/>
    </row>
    <row r="2277" spans="2:16" s="8" customFormat="1" ht="12.75" hidden="1" customHeight="1">
      <c r="B2277" s="37"/>
      <c r="C2277" s="37"/>
      <c r="D2277" s="38"/>
      <c r="E2277" s="38"/>
      <c r="F2277" s="39"/>
      <c r="K2277" s="5"/>
      <c r="L2277" s="5"/>
      <c r="M2277" s="5"/>
      <c r="N2277" s="5"/>
      <c r="O2277" s="5"/>
      <c r="P2277" s="5"/>
    </row>
    <row r="2278" spans="2:16" s="8" customFormat="1" ht="12.75" hidden="1" customHeight="1">
      <c r="B2278" s="37"/>
      <c r="C2278" s="37"/>
      <c r="D2278" s="38"/>
      <c r="E2278" s="38"/>
      <c r="F2278" s="39"/>
      <c r="K2278" s="5"/>
      <c r="L2278" s="5"/>
      <c r="M2278" s="5"/>
      <c r="N2278" s="5"/>
      <c r="O2278" s="5"/>
      <c r="P2278" s="5"/>
    </row>
    <row r="2279" spans="2:16" s="8" customFormat="1" ht="12.75" hidden="1" customHeight="1">
      <c r="B2279" s="37"/>
      <c r="C2279" s="37"/>
      <c r="D2279" s="38"/>
      <c r="E2279" s="38"/>
      <c r="F2279" s="39"/>
      <c r="K2279" s="5"/>
      <c r="L2279" s="5"/>
      <c r="M2279" s="5"/>
      <c r="N2279" s="5"/>
      <c r="O2279" s="5"/>
      <c r="P2279" s="5"/>
    </row>
    <row r="2280" spans="2:16" s="8" customFormat="1" ht="12.75" hidden="1" customHeight="1">
      <c r="B2280" s="37"/>
      <c r="C2280" s="37"/>
      <c r="D2280" s="38"/>
      <c r="E2280" s="38"/>
      <c r="F2280" s="39"/>
      <c r="K2280" s="5"/>
      <c r="L2280" s="5"/>
      <c r="M2280" s="5"/>
      <c r="N2280" s="5"/>
      <c r="O2280" s="5"/>
      <c r="P2280" s="5"/>
    </row>
    <row r="2281" spans="2:16" s="8" customFormat="1" ht="12.75" hidden="1" customHeight="1">
      <c r="B2281" s="37"/>
      <c r="C2281" s="37"/>
      <c r="D2281" s="38"/>
      <c r="E2281" s="38"/>
      <c r="F2281" s="39"/>
      <c r="K2281" s="5"/>
      <c r="L2281" s="5"/>
      <c r="M2281" s="5"/>
      <c r="N2281" s="5"/>
      <c r="O2281" s="5"/>
      <c r="P2281" s="5"/>
    </row>
    <row r="2282" spans="2:16" s="8" customFormat="1" ht="12.75" hidden="1" customHeight="1">
      <c r="B2282" s="37"/>
      <c r="C2282" s="37"/>
      <c r="D2282" s="38"/>
      <c r="E2282" s="38"/>
      <c r="F2282" s="39"/>
      <c r="K2282" s="5"/>
      <c r="L2282" s="5"/>
      <c r="M2282" s="5"/>
      <c r="N2282" s="5"/>
      <c r="O2282" s="5"/>
      <c r="P2282" s="5"/>
    </row>
    <row r="2283" spans="2:16" s="8" customFormat="1" ht="12.75" hidden="1" customHeight="1">
      <c r="B2283" s="37"/>
      <c r="C2283" s="37"/>
      <c r="D2283" s="38"/>
      <c r="E2283" s="38"/>
      <c r="F2283" s="39"/>
      <c r="K2283" s="5"/>
      <c r="L2283" s="5"/>
      <c r="M2283" s="5"/>
      <c r="N2283" s="5"/>
      <c r="O2283" s="5"/>
      <c r="P2283" s="5"/>
    </row>
    <row r="2284" spans="2:16" s="8" customFormat="1" ht="12.75" hidden="1" customHeight="1">
      <c r="B2284" s="37"/>
      <c r="C2284" s="37"/>
      <c r="D2284" s="38"/>
      <c r="E2284" s="38"/>
      <c r="F2284" s="39"/>
      <c r="K2284" s="5"/>
      <c r="L2284" s="5"/>
      <c r="M2284" s="5"/>
      <c r="N2284" s="5"/>
      <c r="O2284" s="5"/>
      <c r="P2284" s="5"/>
    </row>
    <row r="2285" spans="2:16" s="8" customFormat="1" ht="12.75" hidden="1" customHeight="1">
      <c r="B2285" s="37"/>
      <c r="C2285" s="37"/>
      <c r="D2285" s="38"/>
      <c r="E2285" s="38"/>
      <c r="F2285" s="39"/>
      <c r="K2285" s="5"/>
      <c r="L2285" s="5"/>
      <c r="M2285" s="5"/>
      <c r="N2285" s="5"/>
      <c r="O2285" s="5"/>
      <c r="P2285" s="5"/>
    </row>
    <row r="2286" spans="2:16" s="8" customFormat="1" ht="12.75" hidden="1" customHeight="1">
      <c r="B2286" s="37"/>
      <c r="C2286" s="37"/>
      <c r="D2286" s="38"/>
      <c r="E2286" s="38"/>
      <c r="F2286" s="39"/>
      <c r="K2286" s="5"/>
      <c r="L2286" s="5"/>
      <c r="M2286" s="5"/>
      <c r="N2286" s="5"/>
      <c r="O2286" s="5"/>
      <c r="P2286" s="5"/>
    </row>
    <row r="2287" spans="2:16" s="8" customFormat="1" ht="12.75" hidden="1" customHeight="1">
      <c r="B2287" s="37"/>
      <c r="C2287" s="37"/>
      <c r="D2287" s="38"/>
      <c r="E2287" s="38"/>
      <c r="F2287" s="39"/>
      <c r="K2287" s="5"/>
      <c r="L2287" s="5"/>
      <c r="M2287" s="5"/>
      <c r="N2287" s="5"/>
      <c r="O2287" s="5"/>
      <c r="P2287" s="5"/>
    </row>
    <row r="2288" spans="2:16" s="8" customFormat="1" ht="12.75" hidden="1" customHeight="1">
      <c r="B2288" s="37"/>
      <c r="C2288" s="37"/>
      <c r="D2288" s="38"/>
      <c r="E2288" s="38"/>
      <c r="F2288" s="39"/>
      <c r="K2288" s="5"/>
      <c r="L2288" s="5"/>
      <c r="M2288" s="5"/>
      <c r="N2288" s="5"/>
      <c r="O2288" s="5"/>
      <c r="P2288" s="5"/>
    </row>
    <row r="2289" spans="2:16" s="8" customFormat="1" ht="12.75" hidden="1" customHeight="1">
      <c r="B2289" s="37"/>
      <c r="C2289" s="37"/>
      <c r="D2289" s="38"/>
      <c r="E2289" s="38"/>
      <c r="F2289" s="39"/>
      <c r="K2289" s="5"/>
      <c r="L2289" s="5"/>
      <c r="M2289" s="5"/>
      <c r="N2289" s="5"/>
      <c r="O2289" s="5"/>
      <c r="P2289" s="5"/>
    </row>
    <row r="2290" spans="2:16" s="8" customFormat="1" ht="12.75" hidden="1" customHeight="1">
      <c r="B2290" s="37"/>
      <c r="C2290" s="37"/>
      <c r="D2290" s="38"/>
      <c r="E2290" s="38"/>
      <c r="F2290" s="39"/>
      <c r="K2290" s="5"/>
      <c r="L2290" s="5"/>
      <c r="M2290" s="5"/>
      <c r="N2290" s="5"/>
      <c r="O2290" s="5"/>
      <c r="P2290" s="5"/>
    </row>
    <row r="2291" spans="2:16" s="8" customFormat="1" ht="12.75" hidden="1" customHeight="1">
      <c r="B2291" s="37"/>
      <c r="C2291" s="37"/>
      <c r="D2291" s="38"/>
      <c r="E2291" s="38"/>
      <c r="F2291" s="39"/>
      <c r="K2291" s="5"/>
      <c r="L2291" s="5"/>
      <c r="M2291" s="5"/>
      <c r="N2291" s="5"/>
      <c r="O2291" s="5"/>
      <c r="P2291" s="5"/>
    </row>
    <row r="2292" spans="2:16" s="8" customFormat="1" ht="12.75" hidden="1" customHeight="1">
      <c r="B2292" s="37"/>
      <c r="C2292" s="37"/>
      <c r="D2292" s="38"/>
      <c r="E2292" s="38"/>
      <c r="F2292" s="39"/>
      <c r="K2292" s="5"/>
      <c r="L2292" s="5"/>
      <c r="M2292" s="5"/>
      <c r="N2292" s="5"/>
      <c r="O2292" s="5"/>
      <c r="P2292" s="5"/>
    </row>
    <row r="2293" spans="2:16" s="8" customFormat="1" ht="12.75" hidden="1" customHeight="1">
      <c r="B2293" s="37"/>
      <c r="C2293" s="37"/>
      <c r="D2293" s="38"/>
      <c r="E2293" s="38"/>
      <c r="F2293" s="39"/>
      <c r="K2293" s="5"/>
      <c r="L2293" s="5"/>
      <c r="M2293" s="5"/>
      <c r="N2293" s="5"/>
      <c r="O2293" s="5"/>
      <c r="P2293" s="5"/>
    </row>
    <row r="2294" spans="2:16" s="8" customFormat="1" ht="12.75" hidden="1" customHeight="1">
      <c r="B2294" s="37"/>
      <c r="C2294" s="37"/>
      <c r="D2294" s="38"/>
      <c r="E2294" s="38"/>
      <c r="F2294" s="39"/>
      <c r="K2294" s="5"/>
      <c r="L2294" s="5"/>
      <c r="M2294" s="5"/>
      <c r="N2294" s="5"/>
      <c r="O2294" s="5"/>
      <c r="P2294" s="5"/>
    </row>
    <row r="2295" spans="2:16" s="8" customFormat="1" ht="12.75" hidden="1" customHeight="1">
      <c r="B2295" s="37"/>
      <c r="C2295" s="37"/>
      <c r="D2295" s="38"/>
      <c r="E2295" s="38"/>
      <c r="F2295" s="39"/>
      <c r="K2295" s="5"/>
      <c r="L2295" s="5"/>
      <c r="M2295" s="5"/>
      <c r="N2295" s="5"/>
      <c r="O2295" s="5"/>
      <c r="P2295" s="5"/>
    </row>
    <row r="2296" spans="2:16" s="8" customFormat="1" ht="12.75" hidden="1" customHeight="1">
      <c r="B2296" s="37"/>
      <c r="C2296" s="37"/>
      <c r="D2296" s="38"/>
      <c r="E2296" s="38"/>
      <c r="F2296" s="39"/>
      <c r="K2296" s="5"/>
      <c r="L2296" s="5"/>
      <c r="M2296" s="5"/>
      <c r="N2296" s="5"/>
      <c r="O2296" s="5"/>
      <c r="P2296" s="5"/>
    </row>
    <row r="2297" spans="2:16" s="8" customFormat="1" ht="12.75" hidden="1" customHeight="1">
      <c r="B2297" s="37"/>
      <c r="C2297" s="37"/>
      <c r="D2297" s="38"/>
      <c r="E2297" s="38"/>
      <c r="F2297" s="39"/>
      <c r="K2297" s="5"/>
      <c r="L2297" s="5"/>
      <c r="M2297" s="5"/>
      <c r="N2297" s="5"/>
      <c r="O2297" s="5"/>
      <c r="P2297" s="5"/>
    </row>
    <row r="2298" spans="2:16" s="8" customFormat="1" ht="12.75" hidden="1" customHeight="1">
      <c r="B2298" s="37"/>
      <c r="C2298" s="37"/>
      <c r="D2298" s="38"/>
      <c r="E2298" s="38"/>
      <c r="F2298" s="39"/>
      <c r="K2298" s="5"/>
      <c r="L2298" s="5"/>
      <c r="M2298" s="5"/>
      <c r="N2298" s="5"/>
      <c r="O2298" s="5"/>
      <c r="P2298" s="5"/>
    </row>
    <row r="2299" spans="2:16" s="8" customFormat="1" ht="12.75" hidden="1" customHeight="1">
      <c r="B2299" s="37"/>
      <c r="C2299" s="37"/>
      <c r="D2299" s="38"/>
      <c r="E2299" s="38"/>
      <c r="F2299" s="39"/>
      <c r="K2299" s="5"/>
      <c r="L2299" s="5"/>
      <c r="M2299" s="5"/>
      <c r="N2299" s="5"/>
      <c r="O2299" s="5"/>
      <c r="P2299" s="5"/>
    </row>
    <row r="2300" spans="2:16" s="8" customFormat="1" ht="12.75" hidden="1" customHeight="1">
      <c r="B2300" s="37"/>
      <c r="C2300" s="37"/>
      <c r="D2300" s="38"/>
      <c r="E2300" s="38"/>
      <c r="F2300" s="39"/>
      <c r="K2300" s="5"/>
      <c r="L2300" s="5"/>
      <c r="M2300" s="5"/>
      <c r="N2300" s="5"/>
      <c r="O2300" s="5"/>
      <c r="P2300" s="5"/>
    </row>
    <row r="2301" spans="2:16" s="8" customFormat="1" ht="12.75" hidden="1" customHeight="1">
      <c r="B2301" s="37"/>
      <c r="C2301" s="37"/>
      <c r="D2301" s="38"/>
      <c r="E2301" s="38"/>
      <c r="F2301" s="39"/>
      <c r="K2301" s="5"/>
      <c r="L2301" s="5"/>
      <c r="M2301" s="5"/>
      <c r="N2301" s="5"/>
      <c r="O2301" s="5"/>
      <c r="P2301" s="5"/>
    </row>
    <row r="2302" spans="2:16" s="8" customFormat="1" ht="12.75" hidden="1" customHeight="1">
      <c r="B2302" s="37"/>
      <c r="C2302" s="37"/>
      <c r="D2302" s="38"/>
      <c r="E2302" s="38"/>
      <c r="F2302" s="39"/>
      <c r="K2302" s="5"/>
      <c r="L2302" s="5"/>
      <c r="M2302" s="5"/>
      <c r="N2302" s="5"/>
      <c r="O2302" s="5"/>
      <c r="P2302" s="5"/>
    </row>
    <row r="2303" spans="2:16" s="8" customFormat="1" ht="12.75" hidden="1" customHeight="1">
      <c r="B2303" s="37"/>
      <c r="C2303" s="37"/>
      <c r="D2303" s="38"/>
      <c r="E2303" s="38"/>
      <c r="F2303" s="39"/>
      <c r="K2303" s="5"/>
      <c r="L2303" s="5"/>
      <c r="M2303" s="5"/>
      <c r="N2303" s="5"/>
      <c r="O2303" s="5"/>
      <c r="P2303" s="5"/>
    </row>
    <row r="2304" spans="2:16" s="8" customFormat="1" ht="12.75" hidden="1" customHeight="1">
      <c r="B2304" s="37"/>
      <c r="C2304" s="37"/>
      <c r="D2304" s="38"/>
      <c r="E2304" s="38"/>
      <c r="F2304" s="39"/>
      <c r="K2304" s="5"/>
      <c r="L2304" s="5"/>
      <c r="M2304" s="5"/>
      <c r="N2304" s="5"/>
      <c r="O2304" s="5"/>
      <c r="P2304" s="5"/>
    </row>
    <row r="2305" spans="2:16" s="8" customFormat="1" ht="12.75" hidden="1" customHeight="1">
      <c r="B2305" s="37"/>
      <c r="C2305" s="37"/>
      <c r="D2305" s="38"/>
      <c r="E2305" s="38"/>
      <c r="F2305" s="39"/>
      <c r="K2305" s="5"/>
      <c r="L2305" s="5"/>
      <c r="M2305" s="5"/>
      <c r="N2305" s="5"/>
      <c r="O2305" s="5"/>
      <c r="P2305" s="5"/>
    </row>
    <row r="2306" spans="2:16" s="8" customFormat="1" ht="12.75" hidden="1" customHeight="1">
      <c r="B2306" s="37"/>
      <c r="C2306" s="37"/>
      <c r="D2306" s="38"/>
      <c r="E2306" s="38"/>
      <c r="F2306" s="39"/>
      <c r="K2306" s="5"/>
      <c r="L2306" s="5"/>
      <c r="M2306" s="5"/>
      <c r="N2306" s="5"/>
      <c r="O2306" s="5"/>
      <c r="P2306" s="5"/>
    </row>
    <row r="2307" spans="2:16" s="8" customFormat="1" ht="12.75" hidden="1" customHeight="1">
      <c r="B2307" s="37"/>
      <c r="C2307" s="37"/>
      <c r="D2307" s="38"/>
      <c r="E2307" s="38"/>
      <c r="F2307" s="39"/>
      <c r="K2307" s="5"/>
      <c r="L2307" s="5"/>
      <c r="M2307" s="5"/>
      <c r="N2307" s="5"/>
      <c r="O2307" s="5"/>
      <c r="P2307" s="5"/>
    </row>
    <row r="2308" spans="2:16" s="8" customFormat="1" ht="12.75" hidden="1" customHeight="1">
      <c r="B2308" s="37"/>
      <c r="C2308" s="37"/>
      <c r="D2308" s="38"/>
      <c r="E2308" s="38"/>
      <c r="F2308" s="39"/>
      <c r="K2308" s="5"/>
      <c r="L2308" s="5"/>
      <c r="M2308" s="5"/>
      <c r="N2308" s="5"/>
      <c r="O2308" s="5"/>
      <c r="P2308" s="5"/>
    </row>
    <row r="2309" spans="2:16" s="8" customFormat="1" ht="12.75" hidden="1" customHeight="1">
      <c r="B2309" s="37"/>
      <c r="C2309" s="37"/>
      <c r="D2309" s="38"/>
      <c r="E2309" s="38"/>
      <c r="F2309" s="39"/>
      <c r="K2309" s="5"/>
      <c r="L2309" s="5"/>
      <c r="M2309" s="5"/>
      <c r="N2309" s="5"/>
      <c r="O2309" s="5"/>
      <c r="P2309" s="5"/>
    </row>
    <row r="2310" spans="2:16" s="8" customFormat="1" ht="12.75" hidden="1" customHeight="1">
      <c r="B2310" s="37"/>
      <c r="C2310" s="37"/>
      <c r="D2310" s="38"/>
      <c r="E2310" s="38"/>
      <c r="F2310" s="39"/>
      <c r="K2310" s="5"/>
      <c r="L2310" s="5"/>
      <c r="M2310" s="5"/>
      <c r="N2310" s="5"/>
      <c r="O2310" s="5"/>
      <c r="P2310" s="5"/>
    </row>
    <row r="2311" spans="2:16" s="8" customFormat="1" ht="12.75" hidden="1" customHeight="1">
      <c r="B2311" s="37"/>
      <c r="C2311" s="37"/>
      <c r="D2311" s="38"/>
      <c r="E2311" s="38"/>
      <c r="F2311" s="39"/>
      <c r="K2311" s="5"/>
      <c r="L2311" s="5"/>
      <c r="M2311" s="5"/>
      <c r="N2311" s="5"/>
      <c r="O2311" s="5"/>
      <c r="P2311" s="5"/>
    </row>
    <row r="2312" spans="2:16" s="8" customFormat="1" ht="12.75" hidden="1" customHeight="1">
      <c r="B2312" s="37"/>
      <c r="C2312" s="37"/>
      <c r="D2312" s="38"/>
      <c r="E2312" s="38"/>
      <c r="F2312" s="39"/>
      <c r="K2312" s="5"/>
      <c r="L2312" s="5"/>
      <c r="M2312" s="5"/>
      <c r="N2312" s="5"/>
      <c r="O2312" s="5"/>
      <c r="P2312" s="5"/>
    </row>
    <row r="2313" spans="2:16" s="8" customFormat="1" ht="12.75" hidden="1" customHeight="1">
      <c r="B2313" s="37"/>
      <c r="C2313" s="37"/>
      <c r="D2313" s="38"/>
      <c r="E2313" s="38"/>
      <c r="F2313" s="39"/>
      <c r="K2313" s="5"/>
      <c r="L2313" s="5"/>
      <c r="M2313" s="5"/>
      <c r="N2313" s="5"/>
      <c r="O2313" s="5"/>
      <c r="P2313" s="5"/>
    </row>
    <row r="2314" spans="2:16" s="8" customFormat="1" ht="12.75" hidden="1" customHeight="1">
      <c r="B2314" s="37"/>
      <c r="C2314" s="37"/>
      <c r="D2314" s="38"/>
      <c r="E2314" s="38"/>
      <c r="F2314" s="39"/>
      <c r="K2314" s="5"/>
      <c r="L2314" s="5"/>
      <c r="M2314" s="5"/>
      <c r="N2314" s="5"/>
      <c r="O2314" s="5"/>
      <c r="P2314" s="5"/>
    </row>
    <row r="2315" spans="2:16" s="8" customFormat="1" ht="12.75" hidden="1" customHeight="1">
      <c r="B2315" s="37"/>
      <c r="C2315" s="37"/>
      <c r="D2315" s="38"/>
      <c r="E2315" s="38"/>
      <c r="F2315" s="39"/>
      <c r="K2315" s="5"/>
      <c r="L2315" s="5"/>
      <c r="M2315" s="5"/>
      <c r="N2315" s="5"/>
      <c r="O2315" s="5"/>
      <c r="P2315" s="5"/>
    </row>
    <row r="2316" spans="2:16" s="8" customFormat="1" ht="12.75" hidden="1" customHeight="1">
      <c r="B2316" s="37"/>
      <c r="C2316" s="37"/>
      <c r="D2316" s="38"/>
      <c r="E2316" s="38"/>
      <c r="F2316" s="39"/>
      <c r="K2316" s="5"/>
      <c r="L2316" s="5"/>
      <c r="M2316" s="5"/>
      <c r="N2316" s="5"/>
      <c r="O2316" s="5"/>
      <c r="P2316" s="5"/>
    </row>
    <row r="2317" spans="2:16" s="8" customFormat="1" ht="12.75" hidden="1" customHeight="1">
      <c r="B2317" s="37"/>
      <c r="C2317" s="37"/>
      <c r="D2317" s="38"/>
      <c r="E2317" s="38"/>
      <c r="F2317" s="39"/>
      <c r="K2317" s="5"/>
      <c r="L2317" s="5"/>
      <c r="M2317" s="5"/>
      <c r="N2317" s="5"/>
      <c r="O2317" s="5"/>
      <c r="P2317" s="5"/>
    </row>
    <row r="2318" spans="2:16" s="8" customFormat="1" ht="12.75" hidden="1" customHeight="1">
      <c r="B2318" s="37"/>
      <c r="C2318" s="37"/>
      <c r="D2318" s="38"/>
      <c r="E2318" s="38"/>
      <c r="F2318" s="39"/>
      <c r="K2318" s="5"/>
      <c r="L2318" s="5"/>
      <c r="M2318" s="5"/>
      <c r="N2318" s="5"/>
      <c r="O2318" s="5"/>
      <c r="P2318" s="5"/>
    </row>
    <row r="2319" spans="2:16" s="8" customFormat="1" ht="12.75" hidden="1" customHeight="1">
      <c r="B2319" s="37"/>
      <c r="C2319" s="37"/>
      <c r="D2319" s="38"/>
      <c r="E2319" s="38"/>
      <c r="F2319" s="39"/>
      <c r="K2319" s="5"/>
      <c r="L2319" s="5"/>
      <c r="M2319" s="5"/>
      <c r="N2319" s="5"/>
      <c r="O2319" s="5"/>
      <c r="P2319" s="5"/>
    </row>
    <row r="2320" spans="2:16" s="8" customFormat="1" ht="12.75" hidden="1" customHeight="1">
      <c r="B2320" s="37"/>
      <c r="C2320" s="37"/>
      <c r="D2320" s="38"/>
      <c r="E2320" s="38"/>
      <c r="F2320" s="39"/>
      <c r="K2320" s="5"/>
      <c r="L2320" s="5"/>
      <c r="M2320" s="5"/>
      <c r="N2320" s="5"/>
      <c r="O2320" s="5"/>
      <c r="P2320" s="5"/>
    </row>
    <row r="2321" spans="2:16" s="8" customFormat="1" ht="12.75" hidden="1" customHeight="1">
      <c r="B2321" s="37"/>
      <c r="C2321" s="37"/>
      <c r="D2321" s="38"/>
      <c r="E2321" s="38"/>
      <c r="F2321" s="39"/>
      <c r="K2321" s="5"/>
      <c r="L2321" s="5"/>
      <c r="M2321" s="5"/>
      <c r="N2321" s="5"/>
      <c r="O2321" s="5"/>
      <c r="P2321" s="5"/>
    </row>
    <row r="2322" spans="2:16" s="8" customFormat="1" ht="12.75" hidden="1" customHeight="1">
      <c r="B2322" s="37"/>
      <c r="C2322" s="37"/>
      <c r="D2322" s="38"/>
      <c r="E2322" s="38"/>
      <c r="F2322" s="39"/>
      <c r="K2322" s="5"/>
      <c r="L2322" s="5"/>
      <c r="M2322" s="5"/>
      <c r="N2322" s="5"/>
      <c r="O2322" s="5"/>
      <c r="P2322" s="5"/>
    </row>
    <row r="2323" spans="2:16" s="8" customFormat="1" ht="12.75" hidden="1" customHeight="1">
      <c r="B2323" s="37"/>
      <c r="C2323" s="37"/>
      <c r="D2323" s="38"/>
      <c r="E2323" s="38"/>
      <c r="F2323" s="39"/>
      <c r="K2323" s="5"/>
      <c r="L2323" s="5"/>
      <c r="M2323" s="5"/>
      <c r="N2323" s="5"/>
      <c r="O2323" s="5"/>
      <c r="P2323" s="5"/>
    </row>
    <row r="2324" spans="2:16" s="8" customFormat="1" ht="12.75" hidden="1" customHeight="1">
      <c r="B2324" s="37"/>
      <c r="C2324" s="37"/>
      <c r="D2324" s="38"/>
      <c r="E2324" s="38"/>
      <c r="F2324" s="39"/>
      <c r="K2324" s="5"/>
      <c r="L2324" s="5"/>
      <c r="M2324" s="5"/>
      <c r="N2324" s="5"/>
      <c r="O2324" s="5"/>
      <c r="P2324" s="5"/>
    </row>
    <row r="2325" spans="2:16" s="8" customFormat="1" ht="12.75" hidden="1" customHeight="1">
      <c r="B2325" s="37"/>
      <c r="C2325" s="37"/>
      <c r="D2325" s="38"/>
      <c r="E2325" s="38"/>
      <c r="F2325" s="39"/>
      <c r="K2325" s="5"/>
      <c r="L2325" s="5"/>
      <c r="M2325" s="5"/>
      <c r="N2325" s="5"/>
      <c r="O2325" s="5"/>
      <c r="P2325" s="5"/>
    </row>
    <row r="2326" spans="2:16" s="8" customFormat="1" ht="12.75" hidden="1" customHeight="1">
      <c r="B2326" s="37"/>
      <c r="C2326" s="37"/>
      <c r="D2326" s="38"/>
      <c r="E2326" s="38"/>
      <c r="F2326" s="39"/>
      <c r="K2326" s="5"/>
      <c r="L2326" s="5"/>
      <c r="M2326" s="5"/>
      <c r="N2326" s="5"/>
      <c r="O2326" s="5"/>
      <c r="P2326" s="5"/>
    </row>
    <row r="2327" spans="2:16" s="8" customFormat="1" ht="12.75" hidden="1" customHeight="1">
      <c r="B2327" s="37"/>
      <c r="C2327" s="37"/>
      <c r="D2327" s="38"/>
      <c r="E2327" s="38"/>
      <c r="F2327" s="39"/>
      <c r="K2327" s="5"/>
      <c r="L2327" s="5"/>
      <c r="M2327" s="5"/>
      <c r="N2327" s="5"/>
      <c r="O2327" s="5"/>
      <c r="P2327" s="5"/>
    </row>
    <row r="2328" spans="2:16" s="8" customFormat="1" ht="12.75" hidden="1" customHeight="1">
      <c r="B2328" s="37"/>
      <c r="C2328" s="37"/>
      <c r="D2328" s="38"/>
      <c r="E2328" s="38"/>
      <c r="F2328" s="39"/>
      <c r="K2328" s="5"/>
      <c r="L2328" s="5"/>
      <c r="M2328" s="5"/>
      <c r="N2328" s="5"/>
      <c r="O2328" s="5"/>
      <c r="P2328" s="5"/>
    </row>
    <row r="2329" spans="2:16" s="8" customFormat="1" ht="12.75" hidden="1" customHeight="1">
      <c r="B2329" s="37"/>
      <c r="C2329" s="37"/>
      <c r="D2329" s="38"/>
      <c r="E2329" s="38"/>
      <c r="F2329" s="39"/>
      <c r="K2329" s="5"/>
      <c r="L2329" s="5"/>
      <c r="M2329" s="5"/>
      <c r="N2329" s="5"/>
      <c r="O2329" s="5"/>
      <c r="P2329" s="5"/>
    </row>
    <row r="2330" spans="2:16" s="8" customFormat="1" ht="12.75" hidden="1" customHeight="1">
      <c r="B2330" s="37"/>
      <c r="C2330" s="37"/>
      <c r="D2330" s="38"/>
      <c r="E2330" s="38"/>
      <c r="F2330" s="39"/>
      <c r="K2330" s="5"/>
      <c r="L2330" s="5"/>
      <c r="M2330" s="5"/>
      <c r="N2330" s="5"/>
      <c r="O2330" s="5"/>
      <c r="P2330" s="5"/>
    </row>
    <row r="2331" spans="2:16" s="8" customFormat="1" ht="12.75" hidden="1" customHeight="1">
      <c r="B2331" s="37"/>
      <c r="C2331" s="37"/>
      <c r="D2331" s="38"/>
      <c r="E2331" s="38"/>
      <c r="F2331" s="39"/>
      <c r="K2331" s="5"/>
      <c r="L2331" s="5"/>
      <c r="M2331" s="5"/>
      <c r="N2331" s="5"/>
      <c r="O2331" s="5"/>
      <c r="P2331" s="5"/>
    </row>
    <row r="2332" spans="2:16" s="8" customFormat="1" ht="12.75" hidden="1" customHeight="1">
      <c r="B2332" s="37"/>
      <c r="C2332" s="37"/>
      <c r="D2332" s="38"/>
      <c r="E2332" s="38"/>
      <c r="F2332" s="39"/>
      <c r="K2332" s="5"/>
      <c r="L2332" s="5"/>
      <c r="M2332" s="5"/>
      <c r="N2332" s="5"/>
      <c r="O2332" s="5"/>
      <c r="P2332" s="5"/>
    </row>
    <row r="2333" spans="2:16" s="8" customFormat="1" ht="12.75" hidden="1" customHeight="1">
      <c r="B2333" s="37"/>
      <c r="C2333" s="37"/>
      <c r="D2333" s="38"/>
      <c r="E2333" s="38"/>
      <c r="F2333" s="39"/>
      <c r="K2333" s="5"/>
      <c r="L2333" s="5"/>
      <c r="M2333" s="5"/>
      <c r="N2333" s="5"/>
      <c r="O2333" s="5"/>
      <c r="P2333" s="5"/>
    </row>
    <row r="2334" spans="2:16" s="8" customFormat="1" ht="12.75" hidden="1" customHeight="1">
      <c r="B2334" s="37"/>
      <c r="C2334" s="37"/>
      <c r="D2334" s="38"/>
      <c r="E2334" s="38"/>
      <c r="F2334" s="39"/>
      <c r="K2334" s="5"/>
      <c r="L2334" s="5"/>
      <c r="M2334" s="5"/>
      <c r="N2334" s="5"/>
      <c r="O2334" s="5"/>
      <c r="P2334" s="5"/>
    </row>
    <row r="2335" spans="2:16" s="8" customFormat="1" ht="12.75" hidden="1" customHeight="1">
      <c r="B2335" s="37"/>
      <c r="C2335" s="37"/>
      <c r="D2335" s="38"/>
      <c r="E2335" s="38"/>
      <c r="F2335" s="39"/>
      <c r="K2335" s="5"/>
      <c r="L2335" s="5"/>
      <c r="M2335" s="5"/>
      <c r="N2335" s="5"/>
      <c r="O2335" s="5"/>
      <c r="P2335" s="5"/>
    </row>
    <row r="2336" spans="2:16" s="8" customFormat="1" ht="12.75" hidden="1" customHeight="1">
      <c r="B2336" s="37"/>
      <c r="C2336" s="37"/>
      <c r="D2336" s="38"/>
      <c r="E2336" s="38"/>
      <c r="F2336" s="39"/>
      <c r="K2336" s="5"/>
      <c r="L2336" s="5"/>
      <c r="M2336" s="5"/>
      <c r="N2336" s="5"/>
      <c r="O2336" s="5"/>
      <c r="P2336" s="5"/>
    </row>
    <row r="2337" spans="2:16" s="8" customFormat="1" ht="12.75" hidden="1" customHeight="1">
      <c r="B2337" s="37"/>
      <c r="C2337" s="37"/>
      <c r="D2337" s="38"/>
      <c r="E2337" s="38"/>
      <c r="F2337" s="39"/>
      <c r="K2337" s="5"/>
      <c r="L2337" s="5"/>
      <c r="M2337" s="5"/>
      <c r="N2337" s="5"/>
      <c r="O2337" s="5"/>
      <c r="P2337" s="5"/>
    </row>
    <row r="2338" spans="2:16" s="8" customFormat="1" ht="12.75" hidden="1" customHeight="1">
      <c r="B2338" s="37"/>
      <c r="C2338" s="37"/>
      <c r="D2338" s="38"/>
      <c r="E2338" s="38"/>
      <c r="F2338" s="39"/>
      <c r="K2338" s="5"/>
      <c r="L2338" s="5"/>
      <c r="M2338" s="5"/>
      <c r="N2338" s="5"/>
      <c r="O2338" s="5"/>
      <c r="P2338" s="5"/>
    </row>
    <row r="2339" spans="2:16" s="8" customFormat="1" ht="12.75" hidden="1" customHeight="1">
      <c r="B2339" s="37"/>
      <c r="C2339" s="37"/>
      <c r="D2339" s="38"/>
      <c r="E2339" s="38"/>
      <c r="F2339" s="39"/>
      <c r="K2339" s="5"/>
      <c r="L2339" s="5"/>
      <c r="M2339" s="5"/>
      <c r="N2339" s="5"/>
      <c r="O2339" s="5"/>
      <c r="P2339" s="5"/>
    </row>
    <row r="2340" spans="2:16" s="8" customFormat="1" ht="12.75" hidden="1" customHeight="1">
      <c r="B2340" s="37"/>
      <c r="C2340" s="37"/>
      <c r="D2340" s="38"/>
      <c r="E2340" s="38"/>
      <c r="F2340" s="39"/>
      <c r="K2340" s="5"/>
      <c r="L2340" s="5"/>
      <c r="M2340" s="5"/>
      <c r="N2340" s="5"/>
      <c r="O2340" s="5"/>
      <c r="P2340" s="5"/>
    </row>
    <row r="2341" spans="2:16" s="8" customFormat="1" ht="12.75" hidden="1" customHeight="1">
      <c r="B2341" s="37"/>
      <c r="C2341" s="37"/>
      <c r="D2341" s="38"/>
      <c r="E2341" s="38"/>
      <c r="F2341" s="39"/>
      <c r="K2341" s="5"/>
      <c r="L2341" s="5"/>
      <c r="M2341" s="5"/>
      <c r="N2341" s="5"/>
      <c r="O2341" s="5"/>
      <c r="P2341" s="5"/>
    </row>
    <row r="2342" spans="2:16" s="8" customFormat="1" ht="12.75" hidden="1" customHeight="1">
      <c r="B2342" s="37"/>
      <c r="C2342" s="37"/>
      <c r="D2342" s="38"/>
      <c r="E2342" s="38"/>
      <c r="F2342" s="39"/>
      <c r="K2342" s="5"/>
      <c r="L2342" s="5"/>
      <c r="M2342" s="5"/>
      <c r="N2342" s="5"/>
      <c r="O2342" s="5"/>
      <c r="P2342" s="5"/>
    </row>
    <row r="2343" spans="2:16" s="8" customFormat="1" ht="12.75" hidden="1" customHeight="1">
      <c r="B2343" s="37"/>
      <c r="C2343" s="37"/>
      <c r="D2343" s="38"/>
      <c r="E2343" s="38"/>
      <c r="F2343" s="39"/>
      <c r="K2343" s="5"/>
      <c r="L2343" s="5"/>
      <c r="M2343" s="5"/>
      <c r="N2343" s="5"/>
      <c r="O2343" s="5"/>
      <c r="P2343" s="5"/>
    </row>
    <row r="2344" spans="2:16" s="8" customFormat="1" ht="12.75" hidden="1" customHeight="1">
      <c r="B2344" s="37"/>
      <c r="C2344" s="37"/>
      <c r="D2344" s="38"/>
      <c r="E2344" s="38"/>
      <c r="F2344" s="39"/>
      <c r="K2344" s="5"/>
      <c r="L2344" s="5"/>
      <c r="M2344" s="5"/>
      <c r="N2344" s="5"/>
      <c r="O2344" s="5"/>
      <c r="P2344" s="5"/>
    </row>
    <row r="2345" spans="2:16" s="8" customFormat="1" ht="12.75" hidden="1" customHeight="1">
      <c r="B2345" s="37"/>
      <c r="C2345" s="37"/>
      <c r="D2345" s="38"/>
      <c r="E2345" s="38"/>
      <c r="F2345" s="39"/>
      <c r="K2345" s="5"/>
      <c r="L2345" s="5"/>
      <c r="M2345" s="5"/>
      <c r="N2345" s="5"/>
      <c r="O2345" s="5"/>
      <c r="P2345" s="5"/>
    </row>
    <row r="2346" spans="2:16" s="8" customFormat="1" ht="12.75" hidden="1" customHeight="1">
      <c r="B2346" s="37"/>
      <c r="C2346" s="37"/>
      <c r="D2346" s="38"/>
      <c r="E2346" s="38"/>
      <c r="F2346" s="39"/>
      <c r="K2346" s="5"/>
      <c r="L2346" s="5"/>
      <c r="M2346" s="5"/>
      <c r="N2346" s="5"/>
      <c r="O2346" s="5"/>
      <c r="P2346" s="5"/>
    </row>
    <row r="2347" spans="2:16" s="8" customFormat="1" ht="12.75" hidden="1" customHeight="1">
      <c r="B2347" s="37"/>
      <c r="C2347" s="37"/>
      <c r="D2347" s="38"/>
      <c r="E2347" s="38"/>
      <c r="F2347" s="39"/>
      <c r="K2347" s="5"/>
      <c r="L2347" s="5"/>
      <c r="M2347" s="5"/>
      <c r="N2347" s="5"/>
      <c r="O2347" s="5"/>
      <c r="P2347" s="5"/>
    </row>
    <row r="2348" spans="2:16" s="8" customFormat="1" ht="12.75" hidden="1" customHeight="1">
      <c r="B2348" s="37"/>
      <c r="C2348" s="37"/>
      <c r="D2348" s="38"/>
      <c r="E2348" s="38"/>
      <c r="F2348" s="39"/>
      <c r="K2348" s="5"/>
      <c r="L2348" s="5"/>
      <c r="M2348" s="5"/>
      <c r="N2348" s="5"/>
      <c r="O2348" s="5"/>
      <c r="P2348" s="5"/>
    </row>
    <row r="2349" spans="2:16" s="8" customFormat="1" ht="12.75" hidden="1" customHeight="1">
      <c r="B2349" s="37"/>
      <c r="C2349" s="37"/>
      <c r="D2349" s="38"/>
      <c r="E2349" s="38"/>
      <c r="F2349" s="39"/>
      <c r="K2349" s="5"/>
      <c r="L2349" s="5"/>
      <c r="M2349" s="5"/>
      <c r="N2349" s="5"/>
      <c r="O2349" s="5"/>
      <c r="P2349" s="5"/>
    </row>
    <row r="2350" spans="2:16" s="8" customFormat="1" ht="12.75" hidden="1" customHeight="1">
      <c r="B2350" s="37"/>
      <c r="C2350" s="37"/>
      <c r="D2350" s="38"/>
      <c r="E2350" s="38"/>
      <c r="F2350" s="39"/>
      <c r="K2350" s="5"/>
      <c r="L2350" s="5"/>
      <c r="M2350" s="5"/>
      <c r="N2350" s="5"/>
      <c r="O2350" s="5"/>
      <c r="P2350" s="5"/>
    </row>
    <row r="2351" spans="2:16" s="8" customFormat="1" ht="12.75" hidden="1" customHeight="1">
      <c r="B2351" s="37"/>
      <c r="C2351" s="37"/>
      <c r="D2351" s="38"/>
      <c r="E2351" s="38"/>
      <c r="F2351" s="39"/>
      <c r="K2351" s="5"/>
      <c r="L2351" s="5"/>
      <c r="M2351" s="5"/>
      <c r="N2351" s="5"/>
      <c r="O2351" s="5"/>
      <c r="P2351" s="5"/>
    </row>
    <row r="2352" spans="2:16" s="8" customFormat="1" ht="12.75" hidden="1" customHeight="1">
      <c r="B2352" s="37"/>
      <c r="C2352" s="37"/>
      <c r="D2352" s="38"/>
      <c r="E2352" s="38"/>
      <c r="F2352" s="39"/>
      <c r="K2352" s="5"/>
      <c r="L2352" s="5"/>
      <c r="M2352" s="5"/>
      <c r="N2352" s="5"/>
      <c r="O2352" s="5"/>
      <c r="P2352" s="5"/>
    </row>
    <row r="2353" spans="2:16" s="8" customFormat="1" ht="12.75" hidden="1" customHeight="1">
      <c r="B2353" s="37"/>
      <c r="C2353" s="37"/>
      <c r="D2353" s="38"/>
      <c r="E2353" s="38"/>
      <c r="F2353" s="39"/>
      <c r="K2353" s="5"/>
      <c r="L2353" s="5"/>
      <c r="M2353" s="5"/>
      <c r="N2353" s="5"/>
      <c r="O2353" s="5"/>
      <c r="P2353" s="5"/>
    </row>
    <row r="2354" spans="2:16" s="8" customFormat="1" ht="12.75" hidden="1" customHeight="1">
      <c r="B2354" s="37"/>
      <c r="C2354" s="37"/>
      <c r="D2354" s="38"/>
      <c r="E2354" s="38"/>
      <c r="F2354" s="39"/>
      <c r="K2354" s="5"/>
      <c r="L2354" s="5"/>
      <c r="M2354" s="5"/>
      <c r="N2354" s="5"/>
      <c r="O2354" s="5"/>
      <c r="P2354" s="5"/>
    </row>
    <row r="2355" spans="2:16" s="8" customFormat="1" ht="12.75" hidden="1" customHeight="1">
      <c r="B2355" s="37"/>
      <c r="C2355" s="37"/>
      <c r="D2355" s="38"/>
      <c r="E2355" s="38"/>
      <c r="F2355" s="39"/>
      <c r="K2355" s="5"/>
      <c r="L2355" s="5"/>
      <c r="M2355" s="5"/>
      <c r="N2355" s="5"/>
      <c r="O2355" s="5"/>
      <c r="P2355" s="5"/>
    </row>
    <row r="2356" spans="2:16" s="8" customFormat="1" ht="12.75" hidden="1" customHeight="1">
      <c r="B2356" s="37"/>
      <c r="C2356" s="37"/>
      <c r="D2356" s="38"/>
      <c r="E2356" s="38"/>
      <c r="F2356" s="39"/>
      <c r="K2356" s="5"/>
      <c r="L2356" s="5"/>
      <c r="M2356" s="5"/>
      <c r="N2356" s="5"/>
      <c r="O2356" s="5"/>
      <c r="P2356" s="5"/>
    </row>
    <row r="2357" spans="2:16" s="8" customFormat="1" ht="12.75" hidden="1" customHeight="1">
      <c r="B2357" s="37"/>
      <c r="C2357" s="37"/>
      <c r="D2357" s="38"/>
      <c r="E2357" s="38"/>
      <c r="F2357" s="39"/>
      <c r="K2357" s="5"/>
      <c r="L2357" s="5"/>
      <c r="M2357" s="5"/>
      <c r="N2357" s="5"/>
      <c r="O2357" s="5"/>
      <c r="P2357" s="5"/>
    </row>
    <row r="2358" spans="2:16" s="8" customFormat="1" ht="12.75" hidden="1" customHeight="1">
      <c r="B2358" s="37"/>
      <c r="C2358" s="37"/>
      <c r="D2358" s="38"/>
      <c r="E2358" s="38"/>
      <c r="F2358" s="39"/>
      <c r="K2358" s="5"/>
      <c r="L2358" s="5"/>
      <c r="M2358" s="5"/>
      <c r="N2358" s="5"/>
      <c r="O2358" s="5"/>
      <c r="P2358" s="5"/>
    </row>
    <row r="2359" spans="2:16" s="8" customFormat="1" ht="12.75" hidden="1" customHeight="1">
      <c r="B2359" s="37"/>
      <c r="C2359" s="37"/>
      <c r="D2359" s="38"/>
      <c r="E2359" s="38"/>
      <c r="F2359" s="39"/>
      <c r="K2359" s="5"/>
      <c r="L2359" s="5"/>
      <c r="M2359" s="5"/>
      <c r="N2359" s="5"/>
      <c r="O2359" s="5"/>
      <c r="P2359" s="5"/>
    </row>
    <row r="2360" spans="2:16" s="8" customFormat="1" ht="12.75" hidden="1" customHeight="1">
      <c r="B2360" s="37"/>
      <c r="C2360" s="37"/>
      <c r="D2360" s="38"/>
      <c r="E2360" s="38"/>
      <c r="F2360" s="39"/>
      <c r="K2360" s="5"/>
      <c r="L2360" s="5"/>
      <c r="M2360" s="5"/>
      <c r="N2360" s="5"/>
      <c r="O2360" s="5"/>
      <c r="P2360" s="5"/>
    </row>
    <row r="2361" spans="2:16" s="8" customFormat="1" ht="12.75" hidden="1" customHeight="1">
      <c r="B2361" s="37"/>
      <c r="C2361" s="37"/>
      <c r="D2361" s="38"/>
      <c r="E2361" s="38"/>
      <c r="F2361" s="39"/>
      <c r="K2361" s="5"/>
      <c r="L2361" s="5"/>
      <c r="M2361" s="5"/>
      <c r="N2361" s="5"/>
      <c r="O2361" s="5"/>
      <c r="P2361" s="5"/>
    </row>
    <row r="2362" spans="2:16" s="8" customFormat="1" ht="12.75" hidden="1" customHeight="1">
      <c r="B2362" s="37"/>
      <c r="C2362" s="37"/>
      <c r="D2362" s="38"/>
      <c r="E2362" s="38"/>
      <c r="F2362" s="39"/>
      <c r="K2362" s="5"/>
      <c r="L2362" s="5"/>
      <c r="M2362" s="5"/>
      <c r="N2362" s="5"/>
      <c r="O2362" s="5"/>
      <c r="P2362" s="5"/>
    </row>
    <row r="2363" spans="2:16" s="8" customFormat="1" ht="12.75" hidden="1" customHeight="1">
      <c r="B2363" s="37"/>
      <c r="C2363" s="37"/>
      <c r="D2363" s="38"/>
      <c r="E2363" s="38"/>
      <c r="F2363" s="39"/>
      <c r="K2363" s="5"/>
      <c r="L2363" s="5"/>
      <c r="M2363" s="5"/>
      <c r="N2363" s="5"/>
      <c r="O2363" s="5"/>
      <c r="P2363" s="5"/>
    </row>
    <row r="2364" spans="2:16" s="8" customFormat="1" ht="12.75" hidden="1" customHeight="1">
      <c r="B2364" s="37"/>
      <c r="C2364" s="37"/>
      <c r="D2364" s="38"/>
      <c r="E2364" s="38"/>
      <c r="F2364" s="39"/>
      <c r="K2364" s="5"/>
      <c r="L2364" s="5"/>
      <c r="M2364" s="5"/>
      <c r="N2364" s="5"/>
      <c r="O2364" s="5"/>
      <c r="P2364" s="5"/>
    </row>
    <row r="2365" spans="2:16" s="8" customFormat="1" ht="12.75" hidden="1" customHeight="1">
      <c r="B2365" s="37"/>
      <c r="C2365" s="37"/>
      <c r="D2365" s="38"/>
      <c r="E2365" s="38"/>
      <c r="F2365" s="39"/>
      <c r="K2365" s="5"/>
      <c r="L2365" s="5"/>
      <c r="M2365" s="5"/>
      <c r="N2365" s="5"/>
      <c r="O2365" s="5"/>
      <c r="P2365" s="5"/>
    </row>
    <row r="2366" spans="2:16" s="8" customFormat="1" ht="12.75" hidden="1" customHeight="1">
      <c r="B2366" s="37"/>
      <c r="C2366" s="37"/>
      <c r="D2366" s="38"/>
      <c r="E2366" s="38"/>
      <c r="F2366" s="39"/>
      <c r="K2366" s="5"/>
      <c r="L2366" s="5"/>
      <c r="M2366" s="5"/>
      <c r="N2366" s="5"/>
      <c r="O2366" s="5"/>
      <c r="P2366" s="5"/>
    </row>
    <row r="2367" spans="2:16" s="8" customFormat="1" ht="12.75" hidden="1" customHeight="1">
      <c r="B2367" s="37"/>
      <c r="C2367" s="37"/>
      <c r="D2367" s="38"/>
      <c r="E2367" s="38"/>
      <c r="F2367" s="39"/>
      <c r="K2367" s="5"/>
      <c r="L2367" s="5"/>
      <c r="M2367" s="5"/>
      <c r="N2367" s="5"/>
      <c r="O2367" s="5"/>
      <c r="P2367" s="5"/>
    </row>
    <row r="2368" spans="2:16" s="8" customFormat="1" ht="12.75" hidden="1" customHeight="1">
      <c r="B2368" s="37"/>
      <c r="C2368" s="37"/>
      <c r="D2368" s="38"/>
      <c r="E2368" s="38"/>
      <c r="F2368" s="39"/>
      <c r="K2368" s="5"/>
      <c r="L2368" s="5"/>
      <c r="M2368" s="5"/>
      <c r="N2368" s="5"/>
      <c r="O2368" s="5"/>
      <c r="P2368" s="5"/>
    </row>
    <row r="2369" spans="2:16" s="8" customFormat="1" ht="12.75" hidden="1" customHeight="1">
      <c r="B2369" s="37"/>
      <c r="C2369" s="37"/>
      <c r="D2369" s="38"/>
      <c r="E2369" s="38"/>
      <c r="F2369" s="39"/>
      <c r="K2369" s="5"/>
      <c r="L2369" s="5"/>
      <c r="M2369" s="5"/>
      <c r="N2369" s="5"/>
      <c r="O2369" s="5"/>
      <c r="P2369" s="5"/>
    </row>
    <row r="2370" spans="2:16" s="8" customFormat="1" ht="12.75" hidden="1" customHeight="1">
      <c r="B2370" s="37"/>
      <c r="C2370" s="37"/>
      <c r="D2370" s="38"/>
      <c r="E2370" s="38"/>
      <c r="F2370" s="39"/>
      <c r="K2370" s="5"/>
      <c r="L2370" s="5"/>
      <c r="M2370" s="5"/>
      <c r="N2370" s="5"/>
      <c r="O2370" s="5"/>
      <c r="P2370" s="5"/>
    </row>
    <row r="2371" spans="2:16" s="8" customFormat="1" ht="12.75" hidden="1" customHeight="1">
      <c r="B2371" s="37"/>
      <c r="C2371" s="37"/>
      <c r="D2371" s="38"/>
      <c r="E2371" s="38"/>
      <c r="F2371" s="39"/>
      <c r="K2371" s="5"/>
      <c r="L2371" s="5"/>
      <c r="M2371" s="5"/>
      <c r="N2371" s="5"/>
      <c r="O2371" s="5"/>
      <c r="P2371" s="5"/>
    </row>
    <row r="2372" spans="2:16" s="8" customFormat="1" ht="12.75" hidden="1" customHeight="1">
      <c r="B2372" s="37"/>
      <c r="C2372" s="37"/>
      <c r="D2372" s="38"/>
      <c r="E2372" s="38"/>
      <c r="F2372" s="39"/>
      <c r="K2372" s="5"/>
      <c r="L2372" s="5"/>
      <c r="M2372" s="5"/>
      <c r="N2372" s="5"/>
      <c r="O2372" s="5"/>
      <c r="P2372" s="5"/>
    </row>
    <row r="2373" spans="2:16" s="8" customFormat="1" ht="12.75" hidden="1" customHeight="1">
      <c r="B2373" s="37"/>
      <c r="C2373" s="37"/>
      <c r="D2373" s="38"/>
      <c r="E2373" s="38"/>
      <c r="F2373" s="39"/>
      <c r="K2373" s="5"/>
      <c r="L2373" s="5"/>
      <c r="M2373" s="5"/>
      <c r="N2373" s="5"/>
      <c r="O2373" s="5"/>
      <c r="P2373" s="5"/>
    </row>
    <row r="2374" spans="2:16" s="8" customFormat="1" ht="12.75" hidden="1" customHeight="1">
      <c r="B2374" s="37"/>
      <c r="C2374" s="37"/>
      <c r="D2374" s="38"/>
      <c r="E2374" s="38"/>
      <c r="F2374" s="39"/>
      <c r="K2374" s="5"/>
      <c r="L2374" s="5"/>
      <c r="M2374" s="5"/>
      <c r="N2374" s="5"/>
      <c r="O2374" s="5"/>
      <c r="P2374" s="5"/>
    </row>
    <row r="2375" spans="2:16" s="8" customFormat="1" ht="12.75" hidden="1" customHeight="1">
      <c r="B2375" s="37"/>
      <c r="C2375" s="37"/>
      <c r="D2375" s="38"/>
      <c r="E2375" s="38"/>
      <c r="F2375" s="39"/>
      <c r="K2375" s="5"/>
      <c r="L2375" s="5"/>
      <c r="M2375" s="5"/>
      <c r="N2375" s="5"/>
      <c r="O2375" s="5"/>
      <c r="P2375" s="5"/>
    </row>
    <row r="2376" spans="2:16" s="8" customFormat="1" ht="12.75" hidden="1" customHeight="1">
      <c r="B2376" s="37"/>
      <c r="C2376" s="37"/>
      <c r="D2376" s="38"/>
      <c r="E2376" s="38"/>
      <c r="F2376" s="39"/>
      <c r="K2376" s="5"/>
      <c r="L2376" s="5"/>
      <c r="M2376" s="5"/>
      <c r="N2376" s="5"/>
      <c r="O2376" s="5"/>
      <c r="P2376" s="5"/>
    </row>
    <row r="2377" spans="2:16" s="8" customFormat="1" ht="12.75" hidden="1" customHeight="1">
      <c r="B2377" s="37"/>
      <c r="C2377" s="37"/>
      <c r="D2377" s="38"/>
      <c r="E2377" s="38"/>
      <c r="F2377" s="39"/>
      <c r="K2377" s="5"/>
      <c r="L2377" s="5"/>
      <c r="M2377" s="5"/>
      <c r="N2377" s="5"/>
      <c r="O2377" s="5"/>
      <c r="P2377" s="5"/>
    </row>
    <row r="2378" spans="2:16" s="8" customFormat="1" ht="12.75" hidden="1" customHeight="1">
      <c r="B2378" s="37"/>
      <c r="C2378" s="37"/>
      <c r="D2378" s="38"/>
      <c r="E2378" s="38"/>
      <c r="F2378" s="39"/>
      <c r="K2378" s="5"/>
      <c r="L2378" s="5"/>
      <c r="M2378" s="5"/>
      <c r="N2378" s="5"/>
      <c r="O2378" s="5"/>
      <c r="P2378" s="5"/>
    </row>
    <row r="2379" spans="2:16" s="8" customFormat="1" ht="12.75" hidden="1" customHeight="1">
      <c r="B2379" s="37"/>
      <c r="C2379" s="37"/>
      <c r="D2379" s="38"/>
      <c r="E2379" s="38"/>
      <c r="F2379" s="39"/>
      <c r="K2379" s="5"/>
      <c r="L2379" s="5"/>
      <c r="M2379" s="5"/>
      <c r="N2379" s="5"/>
      <c r="O2379" s="5"/>
      <c r="P2379" s="5"/>
    </row>
    <row r="2380" spans="2:16" s="8" customFormat="1" ht="12.75" hidden="1" customHeight="1">
      <c r="B2380" s="37"/>
      <c r="C2380" s="37"/>
      <c r="D2380" s="38"/>
      <c r="E2380" s="38"/>
      <c r="F2380" s="39"/>
      <c r="K2380" s="5"/>
      <c r="L2380" s="5"/>
      <c r="M2380" s="5"/>
      <c r="N2380" s="5"/>
      <c r="O2380" s="5"/>
      <c r="P2380" s="5"/>
    </row>
    <row r="2381" spans="2:16" s="8" customFormat="1" ht="12.75" hidden="1" customHeight="1">
      <c r="B2381" s="37"/>
      <c r="C2381" s="37"/>
      <c r="D2381" s="38"/>
      <c r="E2381" s="38"/>
      <c r="F2381" s="39"/>
      <c r="K2381" s="5"/>
      <c r="L2381" s="5"/>
      <c r="M2381" s="5"/>
      <c r="N2381" s="5"/>
      <c r="O2381" s="5"/>
      <c r="P2381" s="5"/>
    </row>
    <row r="2382" spans="2:16" s="8" customFormat="1" ht="12.75" hidden="1" customHeight="1">
      <c r="B2382" s="37"/>
      <c r="C2382" s="37"/>
      <c r="D2382" s="38"/>
      <c r="E2382" s="38"/>
      <c r="F2382" s="39"/>
      <c r="K2382" s="5"/>
      <c r="L2382" s="5"/>
      <c r="M2382" s="5"/>
      <c r="N2382" s="5"/>
      <c r="O2382" s="5"/>
      <c r="P2382" s="5"/>
    </row>
    <row r="2383" spans="2:16" s="8" customFormat="1" ht="12.75" hidden="1" customHeight="1">
      <c r="B2383" s="37"/>
      <c r="C2383" s="37"/>
      <c r="D2383" s="38"/>
      <c r="E2383" s="38"/>
      <c r="F2383" s="39"/>
      <c r="K2383" s="5"/>
      <c r="L2383" s="5"/>
      <c r="M2383" s="5"/>
      <c r="N2383" s="5"/>
      <c r="O2383" s="5"/>
      <c r="P2383" s="5"/>
    </row>
    <row r="2384" spans="2:16" s="8" customFormat="1" ht="12.75" hidden="1" customHeight="1">
      <c r="B2384" s="37"/>
      <c r="C2384" s="37"/>
      <c r="D2384" s="38"/>
      <c r="E2384" s="38"/>
      <c r="F2384" s="39"/>
      <c r="K2384" s="5"/>
      <c r="L2384" s="5"/>
      <c r="M2384" s="5"/>
      <c r="N2384" s="5"/>
      <c r="O2384" s="5"/>
      <c r="P2384" s="5"/>
    </row>
    <row r="2385" spans="2:16" s="8" customFormat="1" ht="12.75" hidden="1" customHeight="1">
      <c r="B2385" s="37"/>
      <c r="C2385" s="37"/>
      <c r="D2385" s="38"/>
      <c r="E2385" s="38"/>
      <c r="F2385" s="39"/>
      <c r="K2385" s="5"/>
      <c r="L2385" s="5"/>
      <c r="M2385" s="5"/>
      <c r="N2385" s="5"/>
      <c r="O2385" s="5"/>
      <c r="P2385" s="5"/>
    </row>
    <row r="2386" spans="2:16" s="8" customFormat="1" ht="12.75" hidden="1" customHeight="1">
      <c r="B2386" s="37"/>
      <c r="C2386" s="37"/>
      <c r="D2386" s="38"/>
      <c r="E2386" s="38"/>
      <c r="F2386" s="39"/>
      <c r="K2386" s="5"/>
      <c r="L2386" s="5"/>
      <c r="M2386" s="5"/>
      <c r="N2386" s="5"/>
      <c r="O2386" s="5"/>
      <c r="P2386" s="5"/>
    </row>
    <row r="2387" spans="2:16" s="8" customFormat="1" ht="12.75" hidden="1" customHeight="1">
      <c r="B2387" s="37"/>
      <c r="C2387" s="37"/>
      <c r="D2387" s="38"/>
      <c r="E2387" s="38"/>
      <c r="F2387" s="39"/>
      <c r="K2387" s="5"/>
      <c r="L2387" s="5"/>
      <c r="M2387" s="5"/>
      <c r="N2387" s="5"/>
      <c r="O2387" s="5"/>
      <c r="P2387" s="5"/>
    </row>
    <row r="2388" spans="2:16" s="8" customFormat="1" ht="12.75" hidden="1" customHeight="1">
      <c r="B2388" s="37"/>
      <c r="C2388" s="37"/>
      <c r="D2388" s="38"/>
      <c r="E2388" s="38"/>
      <c r="F2388" s="39"/>
      <c r="K2388" s="5"/>
      <c r="L2388" s="5"/>
      <c r="M2388" s="5"/>
      <c r="N2388" s="5"/>
      <c r="O2388" s="5"/>
      <c r="P2388" s="5"/>
    </row>
    <row r="2389" spans="2:16" s="8" customFormat="1" ht="12.75" hidden="1" customHeight="1">
      <c r="B2389" s="37"/>
      <c r="C2389" s="37"/>
      <c r="D2389" s="38"/>
      <c r="E2389" s="38"/>
      <c r="F2389" s="39"/>
      <c r="K2389" s="5"/>
      <c r="L2389" s="5"/>
      <c r="M2389" s="5"/>
      <c r="N2389" s="5"/>
      <c r="O2389" s="5"/>
      <c r="P2389" s="5"/>
    </row>
    <row r="2390" spans="2:16" s="8" customFormat="1" ht="12.75" hidden="1" customHeight="1">
      <c r="B2390" s="37"/>
      <c r="C2390" s="37"/>
      <c r="D2390" s="38"/>
      <c r="E2390" s="38"/>
      <c r="F2390" s="39"/>
      <c r="K2390" s="5"/>
      <c r="L2390" s="5"/>
      <c r="M2390" s="5"/>
      <c r="N2390" s="5"/>
      <c r="O2390" s="5"/>
      <c r="P2390" s="5"/>
    </row>
    <row r="2391" spans="2:16" s="8" customFormat="1" ht="12.75" hidden="1" customHeight="1">
      <c r="B2391" s="37"/>
      <c r="C2391" s="37"/>
      <c r="D2391" s="38"/>
      <c r="E2391" s="38"/>
      <c r="F2391" s="39"/>
      <c r="K2391" s="5"/>
      <c r="L2391" s="5"/>
      <c r="M2391" s="5"/>
      <c r="N2391" s="5"/>
      <c r="O2391" s="5"/>
      <c r="P2391" s="5"/>
    </row>
    <row r="2392" spans="2:16" s="8" customFormat="1" ht="12.75" hidden="1" customHeight="1">
      <c r="B2392" s="37"/>
      <c r="C2392" s="37"/>
      <c r="D2392" s="38"/>
      <c r="E2392" s="38"/>
      <c r="F2392" s="39"/>
      <c r="K2392" s="5"/>
      <c r="L2392" s="5"/>
      <c r="M2392" s="5"/>
      <c r="N2392" s="5"/>
      <c r="O2392" s="5"/>
      <c r="P2392" s="5"/>
    </row>
    <row r="2393" spans="2:16" s="8" customFormat="1" ht="12.75" hidden="1" customHeight="1">
      <c r="B2393" s="37"/>
      <c r="C2393" s="37"/>
      <c r="D2393" s="38"/>
      <c r="E2393" s="38"/>
      <c r="F2393" s="39"/>
      <c r="K2393" s="5"/>
      <c r="L2393" s="5"/>
      <c r="M2393" s="5"/>
      <c r="N2393" s="5"/>
      <c r="O2393" s="5"/>
      <c r="P2393" s="5"/>
    </row>
    <row r="2394" spans="2:16" s="8" customFormat="1" ht="12.75" hidden="1" customHeight="1">
      <c r="B2394" s="37"/>
      <c r="C2394" s="37"/>
      <c r="D2394" s="38"/>
      <c r="E2394" s="38"/>
      <c r="F2394" s="39"/>
      <c r="K2394" s="5"/>
      <c r="L2394" s="5"/>
      <c r="M2394" s="5"/>
      <c r="N2394" s="5"/>
      <c r="O2394" s="5"/>
      <c r="P2394" s="5"/>
    </row>
    <row r="2395" spans="2:16" s="8" customFormat="1" ht="12.75" hidden="1" customHeight="1">
      <c r="B2395" s="37"/>
      <c r="C2395" s="37"/>
      <c r="D2395" s="38"/>
      <c r="E2395" s="38"/>
      <c r="F2395" s="39"/>
      <c r="K2395" s="5"/>
      <c r="L2395" s="5"/>
      <c r="M2395" s="5"/>
      <c r="N2395" s="5"/>
      <c r="O2395" s="5"/>
      <c r="P2395" s="5"/>
    </row>
    <row r="2396" spans="2:16" s="8" customFormat="1" ht="12.75" hidden="1" customHeight="1">
      <c r="B2396" s="37"/>
      <c r="C2396" s="37"/>
      <c r="D2396" s="38"/>
      <c r="E2396" s="38"/>
      <c r="F2396" s="39"/>
      <c r="K2396" s="5"/>
      <c r="L2396" s="5"/>
      <c r="M2396" s="5"/>
      <c r="N2396" s="5"/>
      <c r="O2396" s="5"/>
      <c r="P2396" s="5"/>
    </row>
    <row r="2397" spans="2:16" s="8" customFormat="1" ht="12.75" hidden="1" customHeight="1">
      <c r="B2397" s="37"/>
      <c r="C2397" s="37"/>
      <c r="D2397" s="38"/>
      <c r="E2397" s="38"/>
      <c r="F2397" s="39"/>
      <c r="K2397" s="5"/>
      <c r="L2397" s="5"/>
      <c r="M2397" s="5"/>
      <c r="N2397" s="5"/>
      <c r="O2397" s="5"/>
      <c r="P2397" s="5"/>
    </row>
    <row r="2398" spans="2:16" s="8" customFormat="1" ht="12.75" hidden="1" customHeight="1">
      <c r="B2398" s="37"/>
      <c r="C2398" s="37"/>
      <c r="D2398" s="38"/>
      <c r="E2398" s="38"/>
      <c r="F2398" s="39"/>
      <c r="K2398" s="5"/>
      <c r="L2398" s="5"/>
      <c r="M2398" s="5"/>
      <c r="N2398" s="5"/>
      <c r="O2398" s="5"/>
      <c r="P2398" s="5"/>
    </row>
    <row r="2399" spans="2:16" s="8" customFormat="1" ht="12.75" hidden="1" customHeight="1">
      <c r="B2399" s="37"/>
      <c r="C2399" s="37"/>
      <c r="D2399" s="38"/>
      <c r="E2399" s="38"/>
      <c r="F2399" s="39"/>
      <c r="K2399" s="5"/>
      <c r="L2399" s="5"/>
      <c r="M2399" s="5"/>
      <c r="N2399" s="5"/>
      <c r="O2399" s="5"/>
      <c r="P2399" s="5"/>
    </row>
    <row r="2400" spans="2:16" s="8" customFormat="1" ht="12.75" hidden="1" customHeight="1">
      <c r="B2400" s="37"/>
      <c r="C2400" s="37"/>
      <c r="D2400" s="38"/>
      <c r="E2400" s="38"/>
      <c r="F2400" s="39"/>
      <c r="K2400" s="5"/>
      <c r="L2400" s="5"/>
      <c r="M2400" s="5"/>
      <c r="N2400" s="5"/>
      <c r="O2400" s="5"/>
      <c r="P2400" s="5"/>
    </row>
    <row r="2401" spans="2:16" s="8" customFormat="1" ht="12.75" hidden="1" customHeight="1">
      <c r="B2401" s="37"/>
      <c r="C2401" s="37"/>
      <c r="D2401" s="38"/>
      <c r="E2401" s="38"/>
      <c r="F2401" s="39"/>
      <c r="K2401" s="5"/>
      <c r="L2401" s="5"/>
      <c r="M2401" s="5"/>
      <c r="N2401" s="5"/>
      <c r="O2401" s="5"/>
      <c r="P2401" s="5"/>
    </row>
    <row r="2402" spans="2:16" s="8" customFormat="1" ht="12.75" hidden="1" customHeight="1">
      <c r="B2402" s="37"/>
      <c r="C2402" s="37"/>
      <c r="D2402" s="38"/>
      <c r="E2402" s="38"/>
      <c r="F2402" s="39"/>
      <c r="K2402" s="5"/>
      <c r="L2402" s="5"/>
      <c r="M2402" s="5"/>
      <c r="N2402" s="5"/>
      <c r="O2402" s="5"/>
      <c r="P2402" s="5"/>
    </row>
    <row r="2403" spans="2:16" s="8" customFormat="1" ht="12.75" hidden="1" customHeight="1">
      <c r="B2403" s="37"/>
      <c r="C2403" s="37"/>
      <c r="D2403" s="38"/>
      <c r="E2403" s="38"/>
      <c r="F2403" s="39"/>
      <c r="K2403" s="5"/>
      <c r="L2403" s="5"/>
      <c r="M2403" s="5"/>
      <c r="N2403" s="5"/>
      <c r="O2403" s="5"/>
      <c r="P2403" s="5"/>
    </row>
    <row r="2404" spans="2:16" s="8" customFormat="1" ht="12.75" hidden="1" customHeight="1">
      <c r="B2404" s="37"/>
      <c r="C2404" s="37"/>
      <c r="D2404" s="38"/>
      <c r="E2404" s="38"/>
      <c r="F2404" s="39"/>
      <c r="K2404" s="5"/>
      <c r="L2404" s="5"/>
      <c r="M2404" s="5"/>
      <c r="N2404" s="5"/>
      <c r="O2404" s="5"/>
      <c r="P2404" s="5"/>
    </row>
    <row r="2405" spans="2:16" s="8" customFormat="1" ht="12.75" hidden="1" customHeight="1">
      <c r="B2405" s="37"/>
      <c r="C2405" s="37"/>
      <c r="D2405" s="38"/>
      <c r="E2405" s="38"/>
      <c r="F2405" s="39"/>
      <c r="K2405" s="5"/>
      <c r="L2405" s="5"/>
      <c r="M2405" s="5"/>
      <c r="N2405" s="5"/>
      <c r="O2405" s="5"/>
      <c r="P2405" s="5"/>
    </row>
    <row r="2406" spans="2:16" s="8" customFormat="1" ht="12.75" hidden="1" customHeight="1">
      <c r="B2406" s="37"/>
      <c r="C2406" s="37"/>
      <c r="D2406" s="38"/>
      <c r="E2406" s="38"/>
      <c r="F2406" s="39"/>
      <c r="K2406" s="5"/>
      <c r="L2406" s="5"/>
      <c r="M2406" s="5"/>
      <c r="N2406" s="5"/>
      <c r="O2406" s="5"/>
      <c r="P2406" s="5"/>
    </row>
    <row r="2407" spans="2:16" s="8" customFormat="1" ht="12.75" hidden="1" customHeight="1">
      <c r="B2407" s="37"/>
      <c r="C2407" s="37"/>
      <c r="D2407" s="38"/>
      <c r="E2407" s="38"/>
      <c r="F2407" s="39"/>
      <c r="K2407" s="5"/>
      <c r="L2407" s="5"/>
      <c r="M2407" s="5"/>
      <c r="N2407" s="5"/>
      <c r="O2407" s="5"/>
      <c r="P2407" s="5"/>
    </row>
    <row r="2408" spans="2:16" s="8" customFormat="1" ht="12.75" hidden="1" customHeight="1">
      <c r="B2408" s="37"/>
      <c r="C2408" s="37"/>
      <c r="D2408" s="38"/>
      <c r="E2408" s="38"/>
      <c r="F2408" s="39"/>
      <c r="K2408" s="5"/>
      <c r="L2408" s="5"/>
      <c r="M2408" s="5"/>
      <c r="N2408" s="5"/>
      <c r="O2408" s="5"/>
      <c r="P2408" s="5"/>
    </row>
    <row r="2409" spans="2:16" s="8" customFormat="1" ht="12.75" hidden="1" customHeight="1">
      <c r="B2409" s="37"/>
      <c r="C2409" s="37"/>
      <c r="D2409" s="38"/>
      <c r="E2409" s="38"/>
      <c r="F2409" s="39"/>
      <c r="K2409" s="5"/>
      <c r="L2409" s="5"/>
      <c r="M2409" s="5"/>
      <c r="N2409" s="5"/>
      <c r="O2409" s="5"/>
      <c r="P2409" s="5"/>
    </row>
    <row r="2410" spans="2:16" s="8" customFormat="1" ht="12.75" hidden="1" customHeight="1">
      <c r="B2410" s="37"/>
      <c r="C2410" s="37"/>
      <c r="D2410" s="38"/>
      <c r="E2410" s="38"/>
      <c r="F2410" s="39"/>
      <c r="K2410" s="5"/>
      <c r="L2410" s="5"/>
      <c r="M2410" s="5"/>
      <c r="N2410" s="5"/>
      <c r="O2410" s="5"/>
      <c r="P2410" s="5"/>
    </row>
    <row r="2411" spans="2:16" s="8" customFormat="1" ht="12.75" hidden="1" customHeight="1">
      <c r="B2411" s="37"/>
      <c r="C2411" s="37"/>
      <c r="D2411" s="38"/>
      <c r="E2411" s="38"/>
      <c r="F2411" s="39"/>
      <c r="K2411" s="5"/>
      <c r="L2411" s="5"/>
      <c r="M2411" s="5"/>
      <c r="N2411" s="5"/>
      <c r="O2411" s="5"/>
      <c r="P2411" s="5"/>
    </row>
    <row r="2412" spans="2:16" s="8" customFormat="1" ht="12.75" hidden="1" customHeight="1">
      <c r="B2412" s="37"/>
      <c r="C2412" s="37"/>
      <c r="D2412" s="38"/>
      <c r="E2412" s="38"/>
      <c r="F2412" s="39"/>
      <c r="K2412" s="5"/>
      <c r="L2412" s="5"/>
      <c r="M2412" s="5"/>
      <c r="N2412" s="5"/>
      <c r="O2412" s="5"/>
      <c r="P2412" s="5"/>
    </row>
    <row r="2413" spans="2:16" s="8" customFormat="1" ht="12.75" hidden="1" customHeight="1">
      <c r="B2413" s="37"/>
      <c r="C2413" s="37"/>
      <c r="D2413" s="38"/>
      <c r="E2413" s="38"/>
      <c r="F2413" s="39"/>
      <c r="K2413" s="5"/>
      <c r="L2413" s="5"/>
      <c r="M2413" s="5"/>
      <c r="N2413" s="5"/>
      <c r="O2413" s="5"/>
      <c r="P2413" s="5"/>
    </row>
    <row r="2414" spans="2:16" s="8" customFormat="1" ht="12.75" hidden="1" customHeight="1">
      <c r="B2414" s="37"/>
      <c r="C2414" s="37"/>
      <c r="D2414" s="38"/>
      <c r="E2414" s="38"/>
      <c r="F2414" s="39"/>
      <c r="K2414" s="5"/>
      <c r="L2414" s="5"/>
      <c r="M2414" s="5"/>
      <c r="N2414" s="5"/>
      <c r="O2414" s="5"/>
      <c r="P2414" s="5"/>
    </row>
    <row r="2415" spans="2:16" s="8" customFormat="1" ht="12.75" hidden="1" customHeight="1">
      <c r="B2415" s="37"/>
      <c r="C2415" s="37"/>
      <c r="D2415" s="38"/>
      <c r="E2415" s="38"/>
      <c r="F2415" s="39"/>
      <c r="K2415" s="5"/>
      <c r="L2415" s="5"/>
      <c r="M2415" s="5"/>
      <c r="N2415" s="5"/>
      <c r="O2415" s="5"/>
      <c r="P2415" s="5"/>
    </row>
    <row r="2416" spans="2:16" s="8" customFormat="1" ht="12.75" hidden="1" customHeight="1">
      <c r="B2416" s="37"/>
      <c r="C2416" s="37"/>
      <c r="D2416" s="38"/>
      <c r="E2416" s="38"/>
      <c r="F2416" s="39"/>
      <c r="K2416" s="5"/>
      <c r="L2416" s="5"/>
      <c r="M2416" s="5"/>
      <c r="N2416" s="5"/>
      <c r="O2416" s="5"/>
      <c r="P2416" s="5"/>
    </row>
    <row r="2417" spans="2:16" s="8" customFormat="1" ht="12.75" hidden="1" customHeight="1">
      <c r="B2417" s="37"/>
      <c r="C2417" s="37"/>
      <c r="D2417" s="38"/>
      <c r="E2417" s="38"/>
      <c r="F2417" s="39"/>
      <c r="K2417" s="5"/>
      <c r="L2417" s="5"/>
      <c r="M2417" s="5"/>
      <c r="N2417" s="5"/>
      <c r="O2417" s="5"/>
      <c r="P2417" s="5"/>
    </row>
    <row r="2418" spans="2:16" s="8" customFormat="1" ht="12.75" hidden="1" customHeight="1">
      <c r="B2418" s="37"/>
      <c r="C2418" s="37"/>
      <c r="D2418" s="38"/>
      <c r="E2418" s="38"/>
      <c r="F2418" s="39"/>
      <c r="K2418" s="5"/>
      <c r="L2418" s="5"/>
      <c r="M2418" s="5"/>
      <c r="N2418" s="5"/>
      <c r="O2418" s="5"/>
      <c r="P2418" s="5"/>
    </row>
    <row r="2419" spans="2:16" s="8" customFormat="1" ht="12.75" hidden="1" customHeight="1">
      <c r="B2419" s="37"/>
      <c r="C2419" s="37"/>
      <c r="D2419" s="38"/>
      <c r="E2419" s="38"/>
      <c r="F2419" s="39"/>
      <c r="K2419" s="5"/>
      <c r="L2419" s="5"/>
      <c r="M2419" s="5"/>
      <c r="N2419" s="5"/>
      <c r="O2419" s="5"/>
      <c r="P2419" s="5"/>
    </row>
    <row r="2420" spans="2:16" s="8" customFormat="1" ht="12.75" hidden="1" customHeight="1">
      <c r="B2420" s="37"/>
      <c r="C2420" s="37"/>
      <c r="D2420" s="38"/>
      <c r="E2420" s="38"/>
      <c r="F2420" s="39"/>
      <c r="K2420" s="5"/>
      <c r="L2420" s="5"/>
      <c r="M2420" s="5"/>
      <c r="N2420" s="5"/>
      <c r="O2420" s="5"/>
      <c r="P2420" s="5"/>
    </row>
    <row r="2421" spans="2:16" s="8" customFormat="1" ht="12.75" hidden="1" customHeight="1">
      <c r="B2421" s="37"/>
      <c r="C2421" s="37"/>
      <c r="D2421" s="38"/>
      <c r="E2421" s="38"/>
      <c r="F2421" s="39"/>
      <c r="K2421" s="5"/>
      <c r="L2421" s="5"/>
      <c r="M2421" s="5"/>
      <c r="N2421" s="5"/>
      <c r="O2421" s="5"/>
      <c r="P2421" s="5"/>
    </row>
    <row r="2422" spans="2:16" s="8" customFormat="1" ht="12.75" hidden="1" customHeight="1">
      <c r="B2422" s="37"/>
      <c r="C2422" s="37"/>
      <c r="D2422" s="38"/>
      <c r="E2422" s="38"/>
      <c r="F2422" s="39"/>
      <c r="K2422" s="5"/>
      <c r="L2422" s="5"/>
      <c r="M2422" s="5"/>
      <c r="N2422" s="5"/>
      <c r="O2422" s="5"/>
      <c r="P2422" s="5"/>
    </row>
    <row r="2423" spans="2:16" s="8" customFormat="1" ht="12.75" hidden="1" customHeight="1">
      <c r="B2423" s="37"/>
      <c r="C2423" s="37"/>
      <c r="D2423" s="38"/>
      <c r="E2423" s="38"/>
      <c r="F2423" s="39"/>
      <c r="K2423" s="5"/>
      <c r="L2423" s="5"/>
      <c r="M2423" s="5"/>
      <c r="N2423" s="5"/>
      <c r="O2423" s="5"/>
      <c r="P2423" s="5"/>
    </row>
    <row r="2424" spans="2:16" s="8" customFormat="1" ht="12.75" hidden="1" customHeight="1">
      <c r="B2424" s="37"/>
      <c r="C2424" s="37"/>
      <c r="D2424" s="38"/>
      <c r="E2424" s="38"/>
      <c r="F2424" s="39"/>
      <c r="K2424" s="5"/>
      <c r="L2424" s="5"/>
      <c r="M2424" s="5"/>
      <c r="N2424" s="5"/>
      <c r="O2424" s="5"/>
      <c r="P2424" s="5"/>
    </row>
    <row r="2425" spans="2:16" s="8" customFormat="1" ht="12.75" hidden="1" customHeight="1">
      <c r="B2425" s="37"/>
      <c r="C2425" s="37"/>
      <c r="D2425" s="38"/>
      <c r="E2425" s="38"/>
      <c r="F2425" s="39"/>
      <c r="K2425" s="5"/>
      <c r="L2425" s="5"/>
      <c r="M2425" s="5"/>
      <c r="N2425" s="5"/>
      <c r="O2425" s="5"/>
      <c r="P2425" s="5"/>
    </row>
    <row r="2426" spans="2:16" s="8" customFormat="1" ht="12.75" hidden="1" customHeight="1">
      <c r="B2426" s="37"/>
      <c r="C2426" s="37"/>
      <c r="D2426" s="38"/>
      <c r="E2426" s="38"/>
      <c r="F2426" s="39"/>
      <c r="K2426" s="5"/>
      <c r="L2426" s="5"/>
      <c r="M2426" s="5"/>
      <c r="N2426" s="5"/>
      <c r="O2426" s="5"/>
      <c r="P2426" s="5"/>
    </row>
    <row r="2427" spans="2:16" s="8" customFormat="1" ht="12.75" hidden="1" customHeight="1">
      <c r="B2427" s="37"/>
      <c r="C2427" s="37"/>
      <c r="D2427" s="38"/>
      <c r="E2427" s="38"/>
      <c r="F2427" s="39"/>
      <c r="K2427" s="5"/>
      <c r="L2427" s="5"/>
      <c r="M2427" s="5"/>
      <c r="N2427" s="5"/>
      <c r="O2427" s="5"/>
      <c r="P2427" s="5"/>
    </row>
    <row r="2428" spans="2:16" s="8" customFormat="1" ht="12.75" hidden="1" customHeight="1">
      <c r="B2428" s="37"/>
      <c r="C2428" s="37"/>
      <c r="D2428" s="38"/>
      <c r="E2428" s="38"/>
      <c r="F2428" s="39"/>
      <c r="K2428" s="5"/>
      <c r="L2428" s="5"/>
      <c r="M2428" s="5"/>
      <c r="N2428" s="5"/>
      <c r="O2428" s="5"/>
      <c r="P2428" s="5"/>
    </row>
    <row r="2429" spans="2:16" s="8" customFormat="1" ht="12.75" hidden="1" customHeight="1">
      <c r="B2429" s="37"/>
      <c r="C2429" s="37"/>
      <c r="D2429" s="38"/>
      <c r="E2429" s="38"/>
      <c r="F2429" s="39"/>
      <c r="K2429" s="5"/>
      <c r="L2429" s="5"/>
      <c r="M2429" s="5"/>
      <c r="N2429" s="5"/>
      <c r="O2429" s="5"/>
      <c r="P2429" s="5"/>
    </row>
    <row r="2430" spans="2:16" s="8" customFormat="1" ht="12.75" hidden="1" customHeight="1">
      <c r="B2430" s="37"/>
      <c r="C2430" s="37"/>
      <c r="D2430" s="38"/>
      <c r="E2430" s="38"/>
      <c r="F2430" s="39"/>
      <c r="K2430" s="5"/>
      <c r="L2430" s="5"/>
      <c r="M2430" s="5"/>
      <c r="N2430" s="5"/>
      <c r="O2430" s="5"/>
      <c r="P2430" s="5"/>
    </row>
    <row r="2431" spans="2:16" s="8" customFormat="1" ht="12.75" hidden="1" customHeight="1">
      <c r="B2431" s="37"/>
      <c r="C2431" s="37"/>
      <c r="D2431" s="38"/>
      <c r="E2431" s="38"/>
      <c r="F2431" s="39"/>
      <c r="K2431" s="5"/>
      <c r="L2431" s="5"/>
      <c r="M2431" s="5"/>
      <c r="N2431" s="5"/>
      <c r="O2431" s="5"/>
      <c r="P2431" s="5"/>
    </row>
    <row r="2432" spans="2:16" s="8" customFormat="1" ht="12.75" hidden="1" customHeight="1">
      <c r="B2432" s="37"/>
      <c r="C2432" s="37"/>
      <c r="D2432" s="38"/>
      <c r="E2432" s="38"/>
      <c r="F2432" s="39"/>
      <c r="K2432" s="5"/>
      <c r="L2432" s="5"/>
      <c r="M2432" s="5"/>
      <c r="N2432" s="5"/>
      <c r="O2432" s="5"/>
      <c r="P2432" s="5"/>
    </row>
    <row r="2433" spans="2:16" s="8" customFormat="1" ht="12.75" hidden="1" customHeight="1">
      <c r="B2433" s="37"/>
      <c r="C2433" s="37"/>
      <c r="D2433" s="38"/>
      <c r="E2433" s="38"/>
      <c r="F2433" s="39"/>
      <c r="K2433" s="5"/>
      <c r="L2433" s="5"/>
      <c r="M2433" s="5"/>
      <c r="N2433" s="5"/>
      <c r="O2433" s="5"/>
      <c r="P2433" s="5"/>
    </row>
    <row r="2434" spans="2:16" s="8" customFormat="1" ht="12.75" hidden="1" customHeight="1">
      <c r="B2434" s="37"/>
      <c r="C2434" s="37"/>
      <c r="D2434" s="38"/>
      <c r="E2434" s="38"/>
      <c r="F2434" s="39"/>
      <c r="K2434" s="5"/>
      <c r="L2434" s="5"/>
      <c r="M2434" s="5"/>
      <c r="N2434" s="5"/>
      <c r="O2434" s="5"/>
      <c r="P2434" s="5"/>
    </row>
    <row r="2435" spans="2:16" s="8" customFormat="1" ht="12.75" hidden="1" customHeight="1">
      <c r="B2435" s="37"/>
      <c r="C2435" s="37"/>
      <c r="D2435" s="38"/>
      <c r="E2435" s="38"/>
      <c r="F2435" s="39"/>
      <c r="K2435" s="5"/>
      <c r="L2435" s="5"/>
      <c r="M2435" s="5"/>
      <c r="N2435" s="5"/>
      <c r="O2435" s="5"/>
      <c r="P2435" s="5"/>
    </row>
    <row r="2436" spans="2:16" s="8" customFormat="1" ht="12.75" hidden="1" customHeight="1">
      <c r="B2436" s="37"/>
      <c r="C2436" s="37"/>
      <c r="D2436" s="38"/>
      <c r="E2436" s="38"/>
      <c r="F2436" s="39"/>
      <c r="K2436" s="5"/>
      <c r="L2436" s="5"/>
      <c r="M2436" s="5"/>
      <c r="N2436" s="5"/>
      <c r="O2436" s="5"/>
      <c r="P2436" s="5"/>
    </row>
    <row r="2437" spans="2:16" s="8" customFormat="1" ht="12.75" hidden="1" customHeight="1">
      <c r="B2437" s="37"/>
      <c r="C2437" s="37"/>
      <c r="D2437" s="38"/>
      <c r="E2437" s="38"/>
      <c r="F2437" s="39"/>
      <c r="K2437" s="5"/>
      <c r="L2437" s="5"/>
      <c r="M2437" s="5"/>
      <c r="N2437" s="5"/>
      <c r="O2437" s="5"/>
      <c r="P2437" s="5"/>
    </row>
    <row r="2438" spans="2:16" s="8" customFormat="1" ht="12.75" hidden="1" customHeight="1">
      <c r="B2438" s="37"/>
      <c r="C2438" s="37"/>
      <c r="D2438" s="38"/>
      <c r="E2438" s="38"/>
      <c r="F2438" s="39"/>
      <c r="K2438" s="5"/>
      <c r="L2438" s="5"/>
      <c r="M2438" s="5"/>
      <c r="N2438" s="5"/>
      <c r="O2438" s="5"/>
      <c r="P2438" s="5"/>
    </row>
    <row r="2439" spans="2:16" s="8" customFormat="1" ht="12.75" hidden="1" customHeight="1">
      <c r="B2439" s="37"/>
      <c r="C2439" s="37"/>
      <c r="D2439" s="38"/>
      <c r="E2439" s="38"/>
      <c r="F2439" s="39"/>
      <c r="K2439" s="5"/>
      <c r="L2439" s="5"/>
      <c r="M2439" s="5"/>
      <c r="N2439" s="5"/>
      <c r="O2439" s="5"/>
      <c r="P2439" s="5"/>
    </row>
    <row r="2440" spans="2:16" s="8" customFormat="1" ht="12.75" hidden="1" customHeight="1">
      <c r="B2440" s="37"/>
      <c r="C2440" s="37"/>
      <c r="D2440" s="38"/>
      <c r="E2440" s="38"/>
      <c r="F2440" s="39"/>
      <c r="K2440" s="5"/>
      <c r="L2440" s="5"/>
      <c r="M2440" s="5"/>
      <c r="N2440" s="5"/>
      <c r="O2440" s="5"/>
      <c r="P2440" s="5"/>
    </row>
    <row r="2441" spans="2:16" s="8" customFormat="1" ht="12.75" hidden="1" customHeight="1">
      <c r="B2441" s="37"/>
      <c r="C2441" s="37"/>
      <c r="D2441" s="38"/>
      <c r="E2441" s="38"/>
      <c r="F2441" s="39"/>
      <c r="K2441" s="5"/>
      <c r="L2441" s="5"/>
      <c r="M2441" s="5"/>
      <c r="N2441" s="5"/>
      <c r="O2441" s="5"/>
      <c r="P2441" s="5"/>
    </row>
    <row r="2442" spans="2:16" s="8" customFormat="1" ht="12.75" hidden="1" customHeight="1">
      <c r="B2442" s="37"/>
      <c r="C2442" s="37"/>
      <c r="D2442" s="38"/>
      <c r="E2442" s="38"/>
      <c r="F2442" s="39"/>
      <c r="K2442" s="5"/>
      <c r="L2442" s="5"/>
      <c r="M2442" s="5"/>
      <c r="N2442" s="5"/>
      <c r="O2442" s="5"/>
      <c r="P2442" s="5"/>
    </row>
    <row r="2443" spans="2:16" s="8" customFormat="1" ht="12.75" hidden="1" customHeight="1">
      <c r="B2443" s="37"/>
      <c r="C2443" s="37"/>
      <c r="D2443" s="38"/>
      <c r="E2443" s="38"/>
      <c r="F2443" s="39"/>
      <c r="K2443" s="5"/>
      <c r="L2443" s="5"/>
      <c r="M2443" s="5"/>
      <c r="N2443" s="5"/>
      <c r="O2443" s="5"/>
      <c r="P2443" s="5"/>
    </row>
    <row r="2444" spans="2:16" s="8" customFormat="1" ht="12.75" hidden="1" customHeight="1">
      <c r="B2444" s="37"/>
      <c r="C2444" s="37"/>
      <c r="D2444" s="38"/>
      <c r="E2444" s="38"/>
      <c r="F2444" s="39"/>
      <c r="K2444" s="5"/>
      <c r="L2444" s="5"/>
      <c r="M2444" s="5"/>
      <c r="N2444" s="5"/>
      <c r="O2444" s="5"/>
      <c r="P2444" s="5"/>
    </row>
    <row r="2445" spans="2:16" s="8" customFormat="1" ht="12.75" hidden="1" customHeight="1">
      <c r="B2445" s="37"/>
      <c r="C2445" s="37"/>
      <c r="D2445" s="38"/>
      <c r="E2445" s="38"/>
      <c r="F2445" s="39"/>
      <c r="K2445" s="5"/>
      <c r="L2445" s="5"/>
      <c r="M2445" s="5"/>
      <c r="N2445" s="5"/>
      <c r="O2445" s="5"/>
      <c r="P2445" s="5"/>
    </row>
    <row r="2446" spans="2:16" s="8" customFormat="1" ht="12.75" hidden="1" customHeight="1">
      <c r="B2446" s="37"/>
      <c r="C2446" s="37"/>
      <c r="D2446" s="38"/>
      <c r="E2446" s="38"/>
      <c r="F2446" s="39"/>
      <c r="K2446" s="5"/>
      <c r="L2446" s="5"/>
      <c r="M2446" s="5"/>
      <c r="N2446" s="5"/>
      <c r="O2446" s="5"/>
      <c r="P2446" s="5"/>
    </row>
    <row r="2447" spans="2:16" s="8" customFormat="1" ht="12.75" hidden="1" customHeight="1">
      <c r="B2447" s="37"/>
      <c r="C2447" s="37"/>
      <c r="D2447" s="38"/>
      <c r="E2447" s="38"/>
      <c r="F2447" s="39"/>
      <c r="K2447" s="5"/>
      <c r="L2447" s="5"/>
      <c r="M2447" s="5"/>
      <c r="N2447" s="5"/>
      <c r="O2447" s="5"/>
      <c r="P2447" s="5"/>
    </row>
    <row r="2448" spans="2:16" s="8" customFormat="1" ht="12.75" hidden="1" customHeight="1">
      <c r="B2448" s="37"/>
      <c r="C2448" s="37"/>
      <c r="D2448" s="38"/>
      <c r="E2448" s="38"/>
      <c r="F2448" s="39"/>
      <c r="K2448" s="5"/>
      <c r="L2448" s="5"/>
      <c r="M2448" s="5"/>
      <c r="N2448" s="5"/>
      <c r="O2448" s="5"/>
      <c r="P2448" s="5"/>
    </row>
    <row r="2449" spans="2:16" s="8" customFormat="1" ht="12.75" hidden="1" customHeight="1">
      <c r="B2449" s="37"/>
      <c r="C2449" s="37"/>
      <c r="D2449" s="38"/>
      <c r="E2449" s="38"/>
      <c r="F2449" s="39"/>
      <c r="K2449" s="5"/>
      <c r="L2449" s="5"/>
      <c r="M2449" s="5"/>
      <c r="N2449" s="5"/>
      <c r="O2449" s="5"/>
      <c r="P2449" s="5"/>
    </row>
    <row r="2450" spans="2:16" s="8" customFormat="1" ht="12.75" hidden="1" customHeight="1">
      <c r="B2450" s="37"/>
      <c r="C2450" s="37"/>
      <c r="D2450" s="38"/>
      <c r="E2450" s="38"/>
      <c r="F2450" s="39"/>
      <c r="K2450" s="5"/>
      <c r="L2450" s="5"/>
      <c r="M2450" s="5"/>
      <c r="N2450" s="5"/>
      <c r="O2450" s="5"/>
      <c r="P2450" s="5"/>
    </row>
    <row r="2451" spans="2:16" s="8" customFormat="1" ht="12.75" hidden="1" customHeight="1">
      <c r="B2451" s="37"/>
      <c r="C2451" s="37"/>
      <c r="D2451" s="38"/>
      <c r="E2451" s="38"/>
      <c r="F2451" s="39"/>
      <c r="K2451" s="5"/>
      <c r="L2451" s="5"/>
      <c r="M2451" s="5"/>
      <c r="N2451" s="5"/>
      <c r="O2451" s="5"/>
      <c r="P2451" s="5"/>
    </row>
    <row r="2452" spans="2:16" s="8" customFormat="1" ht="12.75" hidden="1" customHeight="1">
      <c r="B2452" s="37"/>
      <c r="C2452" s="37"/>
      <c r="D2452" s="38"/>
      <c r="E2452" s="38"/>
      <c r="F2452" s="39"/>
      <c r="K2452" s="5"/>
      <c r="L2452" s="5"/>
      <c r="M2452" s="5"/>
      <c r="N2452" s="5"/>
      <c r="O2452" s="5"/>
      <c r="P2452" s="5"/>
    </row>
    <row r="2453" spans="2:16" s="8" customFormat="1" ht="12.75" hidden="1" customHeight="1">
      <c r="B2453" s="37"/>
      <c r="C2453" s="37"/>
      <c r="D2453" s="38"/>
      <c r="E2453" s="38"/>
      <c r="F2453" s="39"/>
      <c r="K2453" s="5"/>
      <c r="L2453" s="5"/>
      <c r="M2453" s="5"/>
      <c r="N2453" s="5"/>
      <c r="O2453" s="5"/>
      <c r="P2453" s="5"/>
    </row>
    <row r="2454" spans="2:16" s="8" customFormat="1" ht="12.75" hidden="1" customHeight="1">
      <c r="B2454" s="37"/>
      <c r="C2454" s="37"/>
      <c r="D2454" s="38"/>
      <c r="E2454" s="38"/>
      <c r="F2454" s="39"/>
      <c r="K2454" s="5"/>
      <c r="L2454" s="5"/>
      <c r="M2454" s="5"/>
      <c r="N2454" s="5"/>
      <c r="O2454" s="5"/>
      <c r="P2454" s="5"/>
    </row>
    <row r="2455" spans="2:16" s="8" customFormat="1" ht="12.75" hidden="1" customHeight="1">
      <c r="B2455" s="37"/>
      <c r="C2455" s="37"/>
      <c r="D2455" s="38"/>
      <c r="E2455" s="38"/>
      <c r="F2455" s="39"/>
      <c r="K2455" s="5"/>
      <c r="L2455" s="5"/>
      <c r="M2455" s="5"/>
      <c r="N2455" s="5"/>
      <c r="O2455" s="5"/>
      <c r="P2455" s="5"/>
    </row>
    <row r="2456" spans="2:16" s="8" customFormat="1" ht="12.75" hidden="1" customHeight="1">
      <c r="B2456" s="37"/>
      <c r="C2456" s="37"/>
      <c r="D2456" s="38"/>
      <c r="E2456" s="38"/>
      <c r="F2456" s="39"/>
      <c r="K2456" s="5"/>
      <c r="L2456" s="5"/>
      <c r="M2456" s="5"/>
      <c r="N2456" s="5"/>
      <c r="O2456" s="5"/>
      <c r="P2456" s="5"/>
    </row>
    <row r="2457" spans="2:16" s="8" customFormat="1" ht="12.75" hidden="1" customHeight="1">
      <c r="B2457" s="37"/>
      <c r="C2457" s="37"/>
      <c r="D2457" s="38"/>
      <c r="E2457" s="38"/>
      <c r="F2457" s="39"/>
      <c r="K2457" s="5"/>
      <c r="L2457" s="5"/>
      <c r="M2457" s="5"/>
      <c r="N2457" s="5"/>
      <c r="O2457" s="5"/>
      <c r="P2457" s="5"/>
    </row>
    <row r="2458" spans="2:16" s="8" customFormat="1" ht="12.75" hidden="1" customHeight="1">
      <c r="B2458" s="37"/>
      <c r="C2458" s="37"/>
      <c r="D2458" s="38"/>
      <c r="E2458" s="38"/>
      <c r="F2458" s="39"/>
      <c r="K2458" s="5"/>
      <c r="L2458" s="5"/>
      <c r="M2458" s="5"/>
      <c r="N2458" s="5"/>
      <c r="O2458" s="5"/>
      <c r="P2458" s="5"/>
    </row>
    <row r="2459" spans="2:16" s="8" customFormat="1" ht="12.75" hidden="1" customHeight="1">
      <c r="B2459" s="37"/>
      <c r="C2459" s="37"/>
      <c r="D2459" s="38"/>
      <c r="E2459" s="38"/>
      <c r="F2459" s="39"/>
      <c r="K2459" s="5"/>
      <c r="L2459" s="5"/>
      <c r="M2459" s="5"/>
      <c r="N2459" s="5"/>
      <c r="O2459" s="5"/>
      <c r="P2459" s="5"/>
    </row>
    <row r="2460" spans="2:16" s="8" customFormat="1" ht="12.75" hidden="1" customHeight="1">
      <c r="B2460" s="37"/>
      <c r="C2460" s="37"/>
      <c r="D2460" s="38"/>
      <c r="E2460" s="38"/>
      <c r="F2460" s="39"/>
      <c r="K2460" s="5"/>
      <c r="L2460" s="5"/>
      <c r="M2460" s="5"/>
      <c r="N2460" s="5"/>
      <c r="O2460" s="5"/>
      <c r="P2460" s="5"/>
    </row>
    <row r="2461" spans="2:16" s="8" customFormat="1" ht="12.75" hidden="1" customHeight="1">
      <c r="B2461" s="37"/>
      <c r="C2461" s="37"/>
      <c r="D2461" s="38"/>
      <c r="E2461" s="38"/>
      <c r="F2461" s="39"/>
      <c r="K2461" s="5"/>
      <c r="L2461" s="5"/>
      <c r="M2461" s="5"/>
      <c r="N2461" s="5"/>
      <c r="O2461" s="5"/>
      <c r="P2461" s="5"/>
    </row>
    <row r="2462" spans="2:16" s="8" customFormat="1" ht="12.75" hidden="1" customHeight="1">
      <c r="B2462" s="37"/>
      <c r="C2462" s="37"/>
      <c r="D2462" s="38"/>
      <c r="E2462" s="38"/>
      <c r="F2462" s="39"/>
      <c r="K2462" s="5"/>
      <c r="L2462" s="5"/>
      <c r="M2462" s="5"/>
      <c r="N2462" s="5"/>
      <c r="O2462" s="5"/>
      <c r="P2462" s="5"/>
    </row>
    <row r="2463" spans="2:16" s="8" customFormat="1" ht="12.75" hidden="1" customHeight="1">
      <c r="B2463" s="37"/>
      <c r="C2463" s="37"/>
      <c r="D2463" s="38"/>
      <c r="E2463" s="38"/>
      <c r="F2463" s="39"/>
      <c r="K2463" s="5"/>
      <c r="L2463" s="5"/>
      <c r="M2463" s="5"/>
      <c r="N2463" s="5"/>
      <c r="O2463" s="5"/>
      <c r="P2463" s="5"/>
    </row>
    <row r="2464" spans="2:16" s="8" customFormat="1" ht="12.75" hidden="1" customHeight="1">
      <c r="B2464" s="37"/>
      <c r="C2464" s="37"/>
      <c r="D2464" s="38"/>
      <c r="E2464" s="38"/>
      <c r="F2464" s="39"/>
      <c r="K2464" s="5"/>
      <c r="L2464" s="5"/>
      <c r="M2464" s="5"/>
      <c r="N2464" s="5"/>
      <c r="O2464" s="5"/>
      <c r="P2464" s="5"/>
    </row>
    <row r="2465" spans="2:16" s="8" customFormat="1" ht="12.75" hidden="1" customHeight="1">
      <c r="B2465" s="37"/>
      <c r="C2465" s="37"/>
      <c r="D2465" s="38"/>
      <c r="E2465" s="38"/>
      <c r="F2465" s="39"/>
      <c r="K2465" s="5"/>
      <c r="L2465" s="5"/>
      <c r="M2465" s="5"/>
      <c r="N2465" s="5"/>
      <c r="O2465" s="5"/>
      <c r="P2465" s="5"/>
    </row>
    <row r="2466" spans="2:16" s="8" customFormat="1" ht="12.75" hidden="1" customHeight="1">
      <c r="B2466" s="37"/>
      <c r="C2466" s="37"/>
      <c r="D2466" s="38"/>
      <c r="E2466" s="38"/>
      <c r="F2466" s="39"/>
      <c r="K2466" s="5"/>
      <c r="L2466" s="5"/>
      <c r="M2466" s="5"/>
      <c r="N2466" s="5"/>
      <c r="O2466" s="5"/>
      <c r="P2466" s="5"/>
    </row>
    <row r="2467" spans="2:16" s="8" customFormat="1" ht="12.75" hidden="1" customHeight="1">
      <c r="B2467" s="37"/>
      <c r="C2467" s="37"/>
      <c r="D2467" s="38"/>
      <c r="E2467" s="38"/>
      <c r="F2467" s="39"/>
      <c r="K2467" s="5"/>
      <c r="L2467" s="5"/>
      <c r="M2467" s="5"/>
      <c r="N2467" s="5"/>
      <c r="O2467" s="5"/>
      <c r="P2467" s="5"/>
    </row>
    <row r="2468" spans="2:16" s="8" customFormat="1" ht="12.75" hidden="1" customHeight="1">
      <c r="B2468" s="37"/>
      <c r="C2468" s="37"/>
      <c r="D2468" s="38"/>
      <c r="E2468" s="38"/>
      <c r="F2468" s="39"/>
      <c r="K2468" s="5"/>
      <c r="L2468" s="5"/>
      <c r="M2468" s="5"/>
      <c r="N2468" s="5"/>
      <c r="O2468" s="5"/>
      <c r="P2468" s="5"/>
    </row>
    <row r="2469" spans="2:16" s="8" customFormat="1" ht="12.75" hidden="1" customHeight="1">
      <c r="B2469" s="37"/>
      <c r="C2469" s="37"/>
      <c r="D2469" s="38"/>
      <c r="E2469" s="38"/>
      <c r="F2469" s="39"/>
      <c r="K2469" s="5"/>
      <c r="L2469" s="5"/>
      <c r="M2469" s="5"/>
      <c r="N2469" s="5"/>
      <c r="O2469" s="5"/>
      <c r="P2469" s="5"/>
    </row>
    <row r="2470" spans="2:16" s="8" customFormat="1" ht="12.75" hidden="1" customHeight="1">
      <c r="B2470" s="37"/>
      <c r="C2470" s="37"/>
      <c r="D2470" s="38"/>
      <c r="E2470" s="38"/>
      <c r="F2470" s="39"/>
      <c r="K2470" s="5"/>
      <c r="L2470" s="5"/>
      <c r="M2470" s="5"/>
      <c r="N2470" s="5"/>
      <c r="O2470" s="5"/>
      <c r="P2470" s="5"/>
    </row>
    <row r="2471" spans="2:16" s="8" customFormat="1" ht="12.75" hidden="1" customHeight="1">
      <c r="B2471" s="37"/>
      <c r="C2471" s="37"/>
      <c r="D2471" s="38"/>
      <c r="E2471" s="38"/>
      <c r="F2471" s="39"/>
      <c r="K2471" s="5"/>
      <c r="L2471" s="5"/>
      <c r="M2471" s="5"/>
      <c r="N2471" s="5"/>
      <c r="O2471" s="5"/>
      <c r="P2471" s="5"/>
    </row>
    <row r="2472" spans="2:16" s="8" customFormat="1" ht="12.75" hidden="1" customHeight="1">
      <c r="B2472" s="37"/>
      <c r="C2472" s="37"/>
      <c r="D2472" s="38"/>
      <c r="E2472" s="38"/>
      <c r="F2472" s="39"/>
      <c r="K2472" s="5"/>
      <c r="L2472" s="5"/>
      <c r="M2472" s="5"/>
      <c r="N2472" s="5"/>
      <c r="O2472" s="5"/>
      <c r="P2472" s="5"/>
    </row>
    <row r="2473" spans="2:16" s="8" customFormat="1" ht="12.75" hidden="1" customHeight="1">
      <c r="B2473" s="37"/>
      <c r="C2473" s="37"/>
      <c r="D2473" s="38"/>
      <c r="E2473" s="38"/>
      <c r="F2473" s="39"/>
      <c r="K2473" s="5"/>
      <c r="L2473" s="5"/>
      <c r="M2473" s="5"/>
      <c r="N2473" s="5"/>
      <c r="O2473" s="5"/>
      <c r="P2473" s="5"/>
    </row>
    <row r="2474" spans="2:16" s="8" customFormat="1" ht="12.75" hidden="1" customHeight="1">
      <c r="B2474" s="37"/>
      <c r="C2474" s="37"/>
      <c r="D2474" s="38"/>
      <c r="E2474" s="38"/>
      <c r="F2474" s="39"/>
      <c r="K2474" s="5"/>
      <c r="L2474" s="5"/>
      <c r="M2474" s="5"/>
      <c r="N2474" s="5"/>
      <c r="O2474" s="5"/>
      <c r="P2474" s="5"/>
    </row>
    <row r="2475" spans="2:16" s="8" customFormat="1" ht="12.75" hidden="1" customHeight="1">
      <c r="B2475" s="37"/>
      <c r="C2475" s="37"/>
      <c r="D2475" s="38"/>
      <c r="E2475" s="38"/>
      <c r="F2475" s="39"/>
      <c r="K2475" s="5"/>
      <c r="L2475" s="5"/>
      <c r="M2475" s="5"/>
      <c r="N2475" s="5"/>
      <c r="O2475" s="5"/>
      <c r="P2475" s="5"/>
    </row>
    <row r="2476" spans="2:16" s="8" customFormat="1" ht="12.75" hidden="1" customHeight="1">
      <c r="B2476" s="37"/>
      <c r="C2476" s="37"/>
      <c r="D2476" s="38"/>
      <c r="E2476" s="38"/>
      <c r="F2476" s="39"/>
      <c r="K2476" s="5"/>
      <c r="L2476" s="5"/>
      <c r="M2476" s="5"/>
      <c r="N2476" s="5"/>
      <c r="O2476" s="5"/>
      <c r="P2476" s="5"/>
    </row>
    <row r="2477" spans="2:16" s="8" customFormat="1" ht="12.75" hidden="1" customHeight="1">
      <c r="B2477" s="37"/>
      <c r="C2477" s="37"/>
      <c r="D2477" s="38"/>
      <c r="E2477" s="38"/>
      <c r="F2477" s="39"/>
      <c r="K2477" s="5"/>
      <c r="L2477" s="5"/>
      <c r="M2477" s="5"/>
      <c r="N2477" s="5"/>
      <c r="O2477" s="5"/>
      <c r="P2477" s="5"/>
    </row>
    <row r="2478" spans="2:16" s="8" customFormat="1" ht="12.75" hidden="1" customHeight="1">
      <c r="B2478" s="37"/>
      <c r="C2478" s="37"/>
      <c r="D2478" s="38"/>
      <c r="E2478" s="38"/>
      <c r="F2478" s="39"/>
      <c r="K2478" s="5"/>
      <c r="L2478" s="5"/>
      <c r="M2478" s="5"/>
      <c r="N2478" s="5"/>
      <c r="O2478" s="5"/>
      <c r="P2478" s="5"/>
    </row>
    <row r="2479" spans="2:16" s="8" customFormat="1" ht="12.75" hidden="1" customHeight="1">
      <c r="B2479" s="37"/>
      <c r="C2479" s="37"/>
      <c r="D2479" s="38"/>
      <c r="E2479" s="38"/>
      <c r="F2479" s="39"/>
      <c r="K2479" s="5"/>
      <c r="L2479" s="5"/>
      <c r="M2479" s="5"/>
      <c r="N2479" s="5"/>
      <c r="O2479" s="5"/>
      <c r="P2479" s="5"/>
    </row>
    <row r="2480" spans="2:16" s="8" customFormat="1" ht="12.75" hidden="1" customHeight="1">
      <c r="B2480" s="37"/>
      <c r="C2480" s="37"/>
      <c r="D2480" s="38"/>
      <c r="E2480" s="38"/>
      <c r="F2480" s="39"/>
      <c r="K2480" s="5"/>
      <c r="L2480" s="5"/>
      <c r="M2480" s="5"/>
      <c r="N2480" s="5"/>
      <c r="O2480" s="5"/>
      <c r="P2480" s="5"/>
    </row>
    <row r="2481" spans="2:16" s="8" customFormat="1" ht="12.75" hidden="1" customHeight="1">
      <c r="B2481" s="37"/>
      <c r="C2481" s="37"/>
      <c r="D2481" s="38"/>
      <c r="E2481" s="38"/>
      <c r="F2481" s="39"/>
      <c r="K2481" s="5"/>
      <c r="L2481" s="5"/>
      <c r="M2481" s="5"/>
      <c r="N2481" s="5"/>
      <c r="O2481" s="5"/>
      <c r="P2481" s="5"/>
    </row>
    <row r="2482" spans="2:16" s="8" customFormat="1" ht="12.75" hidden="1" customHeight="1">
      <c r="B2482" s="37"/>
      <c r="C2482" s="37"/>
      <c r="D2482" s="38"/>
      <c r="E2482" s="38"/>
      <c r="F2482" s="39"/>
      <c r="K2482" s="5"/>
      <c r="L2482" s="5"/>
      <c r="M2482" s="5"/>
      <c r="N2482" s="5"/>
      <c r="O2482" s="5"/>
      <c r="P2482" s="5"/>
    </row>
    <row r="2483" spans="2:16" s="8" customFormat="1" ht="12.75" hidden="1" customHeight="1">
      <c r="B2483" s="37"/>
      <c r="C2483" s="37"/>
      <c r="D2483" s="38"/>
      <c r="E2483" s="38"/>
      <c r="F2483" s="39"/>
      <c r="K2483" s="5"/>
      <c r="L2483" s="5"/>
      <c r="M2483" s="5"/>
      <c r="N2483" s="5"/>
      <c r="O2483" s="5"/>
      <c r="P2483" s="5"/>
    </row>
    <row r="2484" spans="2:16" s="8" customFormat="1" ht="12.75" hidden="1" customHeight="1">
      <c r="B2484" s="37"/>
      <c r="C2484" s="37"/>
      <c r="D2484" s="38"/>
      <c r="E2484" s="38"/>
      <c r="F2484" s="39"/>
      <c r="K2484" s="5"/>
      <c r="L2484" s="5"/>
      <c r="M2484" s="5"/>
      <c r="N2484" s="5"/>
      <c r="O2484" s="5"/>
      <c r="P2484" s="5"/>
    </row>
    <row r="2485" spans="2:16" s="8" customFormat="1" ht="12.75" hidden="1" customHeight="1">
      <c r="B2485" s="37"/>
      <c r="C2485" s="37"/>
      <c r="D2485" s="38"/>
      <c r="E2485" s="38"/>
      <c r="F2485" s="39"/>
      <c r="K2485" s="5"/>
      <c r="L2485" s="5"/>
      <c r="M2485" s="5"/>
      <c r="N2485" s="5"/>
      <c r="O2485" s="5"/>
      <c r="P2485" s="5"/>
    </row>
    <row r="2486" spans="2:16" s="8" customFormat="1" ht="12.75" hidden="1" customHeight="1">
      <c r="B2486" s="37"/>
      <c r="C2486" s="37"/>
      <c r="D2486" s="38"/>
      <c r="E2486" s="38"/>
      <c r="F2486" s="39"/>
      <c r="K2486" s="5"/>
      <c r="L2486" s="5"/>
      <c r="M2486" s="5"/>
      <c r="N2486" s="5"/>
      <c r="O2486" s="5"/>
      <c r="P2486" s="5"/>
    </row>
    <row r="2487" spans="2:16" s="8" customFormat="1" ht="12.75" hidden="1" customHeight="1">
      <c r="B2487" s="37"/>
      <c r="C2487" s="37"/>
      <c r="D2487" s="38"/>
      <c r="E2487" s="38"/>
      <c r="F2487" s="39"/>
      <c r="K2487" s="5"/>
      <c r="L2487" s="5"/>
      <c r="M2487" s="5"/>
      <c r="N2487" s="5"/>
      <c r="O2487" s="5"/>
      <c r="P2487" s="5"/>
    </row>
    <row r="2488" spans="2:16" s="8" customFormat="1" ht="12.75" hidden="1" customHeight="1">
      <c r="B2488" s="37"/>
      <c r="C2488" s="37"/>
      <c r="D2488" s="38"/>
      <c r="E2488" s="38"/>
      <c r="F2488" s="39"/>
      <c r="K2488" s="5"/>
      <c r="L2488" s="5"/>
      <c r="M2488" s="5"/>
      <c r="N2488" s="5"/>
      <c r="O2488" s="5"/>
      <c r="P2488" s="5"/>
    </row>
    <row r="2489" spans="2:16" s="8" customFormat="1" ht="12.75" hidden="1" customHeight="1">
      <c r="B2489" s="37"/>
      <c r="C2489" s="37"/>
      <c r="D2489" s="38"/>
      <c r="E2489" s="38"/>
      <c r="F2489" s="39"/>
      <c r="K2489" s="5"/>
      <c r="L2489" s="5"/>
      <c r="M2489" s="5"/>
      <c r="N2489" s="5"/>
      <c r="O2489" s="5"/>
      <c r="P2489" s="5"/>
    </row>
    <row r="2490" spans="2:16" s="8" customFormat="1" ht="12.75" hidden="1" customHeight="1">
      <c r="B2490" s="37"/>
      <c r="C2490" s="37"/>
      <c r="D2490" s="38"/>
      <c r="E2490" s="38"/>
      <c r="F2490" s="39"/>
      <c r="K2490" s="5"/>
      <c r="L2490" s="5"/>
      <c r="M2490" s="5"/>
      <c r="N2490" s="5"/>
      <c r="O2490" s="5"/>
      <c r="P2490" s="5"/>
    </row>
    <row r="2491" spans="2:16" s="8" customFormat="1" ht="12.75" hidden="1" customHeight="1">
      <c r="B2491" s="37"/>
      <c r="C2491" s="37"/>
      <c r="D2491" s="38"/>
      <c r="E2491" s="38"/>
      <c r="F2491" s="39"/>
      <c r="K2491" s="5"/>
      <c r="L2491" s="5"/>
      <c r="M2491" s="5"/>
      <c r="N2491" s="5"/>
      <c r="O2491" s="5"/>
      <c r="P2491" s="5"/>
    </row>
    <row r="2492" spans="2:16" s="8" customFormat="1" ht="12.75" hidden="1" customHeight="1">
      <c r="B2492" s="37"/>
      <c r="C2492" s="37"/>
      <c r="D2492" s="38"/>
      <c r="E2492" s="38"/>
      <c r="F2492" s="39"/>
      <c r="K2492" s="5"/>
      <c r="L2492" s="5"/>
      <c r="M2492" s="5"/>
      <c r="N2492" s="5"/>
      <c r="O2492" s="5"/>
      <c r="P2492" s="5"/>
    </row>
    <row r="2493" spans="2:16" s="8" customFormat="1" ht="12.75" hidden="1" customHeight="1">
      <c r="B2493" s="37"/>
      <c r="C2493" s="37"/>
      <c r="D2493" s="38"/>
      <c r="E2493" s="38"/>
      <c r="F2493" s="39"/>
      <c r="K2493" s="5"/>
      <c r="L2493" s="5"/>
      <c r="M2493" s="5"/>
      <c r="N2493" s="5"/>
      <c r="O2493" s="5"/>
      <c r="P2493" s="5"/>
    </row>
    <row r="2494" spans="2:16" s="8" customFormat="1" ht="12.75" hidden="1" customHeight="1">
      <c r="B2494" s="37"/>
      <c r="C2494" s="37"/>
      <c r="D2494" s="38"/>
      <c r="E2494" s="38"/>
      <c r="F2494" s="39"/>
      <c r="K2494" s="5"/>
      <c r="L2494" s="5"/>
      <c r="M2494" s="5"/>
      <c r="N2494" s="5"/>
      <c r="O2494" s="5"/>
      <c r="P2494" s="5"/>
    </row>
    <row r="2495" spans="2:16" s="8" customFormat="1" ht="12.75" hidden="1" customHeight="1">
      <c r="B2495" s="37"/>
      <c r="C2495" s="37"/>
      <c r="D2495" s="38"/>
      <c r="E2495" s="38"/>
      <c r="F2495" s="39"/>
      <c r="K2495" s="5"/>
      <c r="L2495" s="5"/>
      <c r="M2495" s="5"/>
      <c r="N2495" s="5"/>
      <c r="O2495" s="5"/>
      <c r="P2495" s="5"/>
    </row>
    <row r="2496" spans="2:16" s="8" customFormat="1" ht="12.75" hidden="1" customHeight="1">
      <c r="B2496" s="37"/>
      <c r="C2496" s="37"/>
      <c r="D2496" s="38"/>
      <c r="E2496" s="38"/>
      <c r="F2496" s="39"/>
      <c r="K2496" s="5"/>
      <c r="L2496" s="5"/>
      <c r="M2496" s="5"/>
      <c r="N2496" s="5"/>
      <c r="O2496" s="5"/>
      <c r="P2496" s="5"/>
    </row>
    <row r="2497" spans="2:16" s="8" customFormat="1" ht="12.75" hidden="1" customHeight="1">
      <c r="B2497" s="37"/>
      <c r="C2497" s="37"/>
      <c r="D2497" s="38"/>
      <c r="E2497" s="38"/>
      <c r="F2497" s="39"/>
      <c r="K2497" s="5"/>
      <c r="L2497" s="5"/>
      <c r="M2497" s="5"/>
      <c r="N2497" s="5"/>
      <c r="O2497" s="5"/>
      <c r="P2497" s="5"/>
    </row>
    <row r="2498" spans="2:16" s="8" customFormat="1" ht="12.75" hidden="1" customHeight="1">
      <c r="B2498" s="37"/>
      <c r="C2498" s="37"/>
      <c r="D2498" s="38"/>
      <c r="E2498" s="38"/>
      <c r="F2498" s="39"/>
      <c r="K2498" s="5"/>
      <c r="L2498" s="5"/>
      <c r="M2498" s="5"/>
      <c r="N2498" s="5"/>
      <c r="O2498" s="5"/>
      <c r="P2498" s="5"/>
    </row>
    <row r="2499" spans="2:16" s="8" customFormat="1" ht="12.75" hidden="1" customHeight="1">
      <c r="B2499" s="37"/>
      <c r="C2499" s="37"/>
      <c r="D2499" s="38"/>
      <c r="E2499" s="38"/>
      <c r="F2499" s="39"/>
      <c r="K2499" s="5"/>
      <c r="L2499" s="5"/>
      <c r="M2499" s="5"/>
      <c r="N2499" s="5"/>
      <c r="O2499" s="5"/>
      <c r="P2499" s="5"/>
    </row>
    <row r="2500" spans="2:16" s="8" customFormat="1" ht="12.75" hidden="1" customHeight="1">
      <c r="B2500" s="37"/>
      <c r="C2500" s="37"/>
      <c r="D2500" s="38"/>
      <c r="E2500" s="38"/>
      <c r="F2500" s="39"/>
      <c r="K2500" s="5"/>
      <c r="L2500" s="5"/>
      <c r="M2500" s="5"/>
      <c r="N2500" s="5"/>
      <c r="O2500" s="5"/>
      <c r="P2500" s="5"/>
    </row>
    <row r="2501" spans="2:16" s="8" customFormat="1" ht="12.75" hidden="1" customHeight="1">
      <c r="B2501" s="37"/>
      <c r="C2501" s="37"/>
      <c r="D2501" s="38"/>
      <c r="E2501" s="38"/>
      <c r="F2501" s="39"/>
      <c r="K2501" s="5"/>
      <c r="L2501" s="5"/>
      <c r="M2501" s="5"/>
      <c r="N2501" s="5"/>
      <c r="O2501" s="5"/>
      <c r="P2501" s="5"/>
    </row>
    <row r="2502" spans="2:16" s="8" customFormat="1" ht="12.75" hidden="1" customHeight="1">
      <c r="B2502" s="37"/>
      <c r="C2502" s="37"/>
      <c r="D2502" s="38"/>
      <c r="E2502" s="38"/>
      <c r="F2502" s="39"/>
      <c r="K2502" s="5"/>
      <c r="L2502" s="5"/>
      <c r="M2502" s="5"/>
      <c r="N2502" s="5"/>
      <c r="O2502" s="5"/>
      <c r="P2502" s="5"/>
    </row>
    <row r="2503" spans="2:16" s="8" customFormat="1" ht="12.75" hidden="1" customHeight="1">
      <c r="B2503" s="37"/>
      <c r="C2503" s="37"/>
      <c r="D2503" s="38"/>
      <c r="E2503" s="38"/>
      <c r="F2503" s="39"/>
      <c r="K2503" s="5"/>
      <c r="L2503" s="5"/>
      <c r="M2503" s="5"/>
      <c r="N2503" s="5"/>
      <c r="O2503" s="5"/>
      <c r="P2503" s="5"/>
    </row>
    <row r="2504" spans="2:16" s="8" customFormat="1" ht="12.75" hidden="1" customHeight="1">
      <c r="B2504" s="37"/>
      <c r="C2504" s="37"/>
      <c r="D2504" s="38"/>
      <c r="E2504" s="38"/>
      <c r="F2504" s="39"/>
      <c r="K2504" s="5"/>
      <c r="L2504" s="5"/>
      <c r="M2504" s="5"/>
      <c r="N2504" s="5"/>
      <c r="O2504" s="5"/>
      <c r="P2504" s="5"/>
    </row>
    <row r="2505" spans="2:16" s="8" customFormat="1" ht="12.75" hidden="1" customHeight="1">
      <c r="B2505" s="37"/>
      <c r="C2505" s="37"/>
      <c r="D2505" s="38"/>
      <c r="E2505" s="38"/>
      <c r="F2505" s="39"/>
      <c r="K2505" s="5"/>
      <c r="L2505" s="5"/>
      <c r="M2505" s="5"/>
      <c r="N2505" s="5"/>
      <c r="O2505" s="5"/>
      <c r="P2505" s="5"/>
    </row>
    <row r="2506" spans="2:16" s="8" customFormat="1" ht="12.75" hidden="1" customHeight="1">
      <c r="B2506" s="37"/>
      <c r="C2506" s="37"/>
      <c r="D2506" s="38"/>
      <c r="E2506" s="38"/>
      <c r="F2506" s="39"/>
      <c r="K2506" s="5"/>
      <c r="L2506" s="5"/>
      <c r="M2506" s="5"/>
      <c r="N2506" s="5"/>
      <c r="O2506" s="5"/>
      <c r="P2506" s="5"/>
    </row>
    <row r="2507" spans="2:16" s="8" customFormat="1" ht="12.75" hidden="1" customHeight="1">
      <c r="B2507" s="37"/>
      <c r="C2507" s="37"/>
      <c r="D2507" s="38"/>
      <c r="E2507" s="38"/>
      <c r="F2507" s="39"/>
      <c r="K2507" s="5"/>
      <c r="L2507" s="5"/>
      <c r="M2507" s="5"/>
      <c r="N2507" s="5"/>
      <c r="O2507" s="5"/>
      <c r="P2507" s="5"/>
    </row>
    <row r="2508" spans="2:16" s="8" customFormat="1" ht="12.75" hidden="1" customHeight="1">
      <c r="B2508" s="37"/>
      <c r="C2508" s="37"/>
      <c r="D2508" s="38"/>
      <c r="E2508" s="38"/>
      <c r="F2508" s="39"/>
      <c r="K2508" s="5"/>
      <c r="L2508" s="5"/>
      <c r="M2508" s="5"/>
      <c r="N2508" s="5"/>
      <c r="O2508" s="5"/>
      <c r="P2508" s="5"/>
    </row>
    <row r="2509" spans="2:16" s="8" customFormat="1" ht="12.75" hidden="1" customHeight="1">
      <c r="B2509" s="37"/>
      <c r="C2509" s="37"/>
      <c r="D2509" s="38"/>
      <c r="E2509" s="38"/>
      <c r="F2509" s="39"/>
      <c r="K2509" s="5"/>
      <c r="L2509" s="5"/>
      <c r="M2509" s="5"/>
      <c r="N2509" s="5"/>
      <c r="O2509" s="5"/>
      <c r="P2509" s="5"/>
    </row>
    <row r="2510" spans="2:16" s="8" customFormat="1" ht="12.75" hidden="1" customHeight="1">
      <c r="B2510" s="37"/>
      <c r="C2510" s="37"/>
      <c r="D2510" s="38"/>
      <c r="E2510" s="38"/>
      <c r="F2510" s="39"/>
      <c r="K2510" s="5"/>
      <c r="L2510" s="5"/>
      <c r="M2510" s="5"/>
      <c r="N2510" s="5"/>
      <c r="O2510" s="5"/>
      <c r="P2510" s="5"/>
    </row>
    <row r="2511" spans="2:16" s="8" customFormat="1" ht="12.75" hidden="1" customHeight="1">
      <c r="B2511" s="37"/>
      <c r="C2511" s="37"/>
      <c r="D2511" s="38"/>
      <c r="E2511" s="38"/>
      <c r="F2511" s="39"/>
      <c r="K2511" s="5"/>
      <c r="L2511" s="5"/>
      <c r="M2511" s="5"/>
      <c r="N2511" s="5"/>
      <c r="O2511" s="5"/>
      <c r="P2511" s="5"/>
    </row>
    <row r="2512" spans="2:16" s="8" customFormat="1" ht="12.75" hidden="1" customHeight="1">
      <c r="B2512" s="37"/>
      <c r="C2512" s="37"/>
      <c r="D2512" s="38"/>
      <c r="E2512" s="38"/>
      <c r="F2512" s="39"/>
      <c r="K2512" s="5"/>
      <c r="L2512" s="5"/>
      <c r="M2512" s="5"/>
      <c r="N2512" s="5"/>
      <c r="O2512" s="5"/>
      <c r="P2512" s="5"/>
    </row>
    <row r="2513" spans="2:16" s="8" customFormat="1" ht="12.75" hidden="1" customHeight="1">
      <c r="B2513" s="37"/>
      <c r="C2513" s="37"/>
      <c r="D2513" s="38"/>
      <c r="E2513" s="38"/>
      <c r="F2513" s="39"/>
      <c r="K2513" s="5"/>
      <c r="L2513" s="5"/>
      <c r="M2513" s="5"/>
      <c r="N2513" s="5"/>
      <c r="O2513" s="5"/>
      <c r="P2513" s="5"/>
    </row>
    <row r="2514" spans="2:16" s="8" customFormat="1" ht="12.75" hidden="1" customHeight="1">
      <c r="B2514" s="37"/>
      <c r="C2514" s="37"/>
      <c r="D2514" s="38"/>
      <c r="E2514" s="38"/>
      <c r="F2514" s="39"/>
      <c r="K2514" s="5"/>
      <c r="L2514" s="5"/>
      <c r="M2514" s="5"/>
      <c r="N2514" s="5"/>
      <c r="O2514" s="5"/>
      <c r="P2514" s="5"/>
    </row>
    <row r="2515" spans="2:16" s="8" customFormat="1" ht="12.75" hidden="1" customHeight="1">
      <c r="B2515" s="37"/>
      <c r="C2515" s="37"/>
      <c r="D2515" s="38"/>
      <c r="E2515" s="38"/>
      <c r="F2515" s="39"/>
      <c r="K2515" s="5"/>
      <c r="L2515" s="5"/>
      <c r="M2515" s="5"/>
      <c r="N2515" s="5"/>
      <c r="O2515" s="5"/>
      <c r="P2515" s="5"/>
    </row>
    <row r="2516" spans="2:16" s="8" customFormat="1" ht="12.75" hidden="1" customHeight="1">
      <c r="B2516" s="37"/>
      <c r="C2516" s="37"/>
      <c r="D2516" s="38"/>
      <c r="E2516" s="38"/>
      <c r="F2516" s="39"/>
      <c r="K2516" s="5"/>
      <c r="L2516" s="5"/>
      <c r="M2516" s="5"/>
      <c r="N2516" s="5"/>
      <c r="O2516" s="5"/>
      <c r="P2516" s="5"/>
    </row>
    <row r="2517" spans="2:16" s="8" customFormat="1" ht="12.75" hidden="1" customHeight="1">
      <c r="B2517" s="37"/>
      <c r="C2517" s="37"/>
      <c r="D2517" s="38"/>
      <c r="E2517" s="38"/>
      <c r="F2517" s="39"/>
      <c r="K2517" s="5"/>
      <c r="L2517" s="5"/>
      <c r="M2517" s="5"/>
      <c r="N2517" s="5"/>
      <c r="O2517" s="5"/>
      <c r="P2517" s="5"/>
    </row>
    <row r="2518" spans="2:16" s="8" customFormat="1" ht="12.75" hidden="1" customHeight="1">
      <c r="B2518" s="37"/>
      <c r="C2518" s="37"/>
      <c r="D2518" s="38"/>
      <c r="E2518" s="38"/>
      <c r="F2518" s="39"/>
      <c r="K2518" s="5"/>
      <c r="L2518" s="5"/>
      <c r="M2518" s="5"/>
      <c r="N2518" s="5"/>
      <c r="O2518" s="5"/>
      <c r="P2518" s="5"/>
    </row>
    <row r="2519" spans="2:16" s="8" customFormat="1" ht="12.75" hidden="1" customHeight="1">
      <c r="B2519" s="37"/>
      <c r="C2519" s="37"/>
      <c r="D2519" s="38"/>
      <c r="E2519" s="38"/>
      <c r="F2519" s="39"/>
      <c r="K2519" s="5"/>
      <c r="L2519" s="5"/>
      <c r="M2519" s="5"/>
      <c r="N2519" s="5"/>
      <c r="O2519" s="5"/>
      <c r="P2519" s="5"/>
    </row>
    <row r="2520" spans="2:16" s="8" customFormat="1" ht="12.75" hidden="1" customHeight="1">
      <c r="B2520" s="37"/>
      <c r="C2520" s="37"/>
      <c r="D2520" s="38"/>
      <c r="E2520" s="38"/>
      <c r="F2520" s="39"/>
      <c r="K2520" s="5"/>
      <c r="L2520" s="5"/>
      <c r="M2520" s="5"/>
      <c r="N2520" s="5"/>
      <c r="O2520" s="5"/>
      <c r="P2520" s="5"/>
    </row>
    <row r="2521" spans="2:16" s="8" customFormat="1" ht="12.75" hidden="1" customHeight="1">
      <c r="B2521" s="37"/>
      <c r="C2521" s="37"/>
      <c r="D2521" s="38"/>
      <c r="E2521" s="38"/>
      <c r="F2521" s="39"/>
      <c r="K2521" s="5"/>
      <c r="L2521" s="5"/>
      <c r="M2521" s="5"/>
      <c r="N2521" s="5"/>
      <c r="O2521" s="5"/>
      <c r="P2521" s="5"/>
    </row>
    <row r="2522" spans="2:16" s="8" customFormat="1" ht="12.75" hidden="1" customHeight="1">
      <c r="B2522" s="37"/>
      <c r="C2522" s="37"/>
      <c r="D2522" s="38"/>
      <c r="E2522" s="38"/>
      <c r="F2522" s="39"/>
      <c r="K2522" s="5"/>
      <c r="L2522" s="5"/>
      <c r="M2522" s="5"/>
      <c r="N2522" s="5"/>
      <c r="O2522" s="5"/>
      <c r="P2522" s="5"/>
    </row>
    <row r="2523" spans="2:16" s="8" customFormat="1" ht="12.75" hidden="1" customHeight="1">
      <c r="B2523" s="37"/>
      <c r="C2523" s="37"/>
      <c r="D2523" s="38"/>
      <c r="E2523" s="38"/>
      <c r="F2523" s="39"/>
      <c r="K2523" s="5"/>
      <c r="L2523" s="5"/>
      <c r="M2523" s="5"/>
      <c r="N2523" s="5"/>
      <c r="O2523" s="5"/>
      <c r="P2523" s="5"/>
    </row>
    <row r="2524" spans="2:16" s="8" customFormat="1" ht="12.75" hidden="1" customHeight="1">
      <c r="B2524" s="37"/>
      <c r="C2524" s="37"/>
      <c r="D2524" s="38"/>
      <c r="E2524" s="38"/>
      <c r="F2524" s="39"/>
      <c r="K2524" s="5"/>
      <c r="L2524" s="5"/>
      <c r="M2524" s="5"/>
      <c r="N2524" s="5"/>
      <c r="O2524" s="5"/>
      <c r="P2524" s="5"/>
    </row>
    <row r="2525" spans="2:16" s="8" customFormat="1" ht="12.75" hidden="1" customHeight="1">
      <c r="B2525" s="37"/>
      <c r="C2525" s="37"/>
      <c r="D2525" s="38"/>
      <c r="E2525" s="38"/>
      <c r="F2525" s="39"/>
      <c r="K2525" s="5"/>
      <c r="L2525" s="5"/>
      <c r="M2525" s="5"/>
      <c r="N2525" s="5"/>
      <c r="O2525" s="5"/>
      <c r="P2525" s="5"/>
    </row>
    <row r="2526" spans="2:16" s="8" customFormat="1" ht="12.75" hidden="1" customHeight="1">
      <c r="B2526" s="37"/>
      <c r="C2526" s="37"/>
      <c r="D2526" s="38"/>
      <c r="E2526" s="38"/>
      <c r="F2526" s="39"/>
      <c r="K2526" s="5"/>
      <c r="L2526" s="5"/>
      <c r="M2526" s="5"/>
      <c r="N2526" s="5"/>
      <c r="O2526" s="5"/>
      <c r="P2526" s="5"/>
    </row>
    <row r="2527" spans="2:16" s="8" customFormat="1" ht="12.75" hidden="1" customHeight="1">
      <c r="B2527" s="37"/>
      <c r="C2527" s="37"/>
      <c r="D2527" s="38"/>
      <c r="E2527" s="38"/>
      <c r="F2527" s="39"/>
      <c r="K2527" s="5"/>
      <c r="L2527" s="5"/>
      <c r="M2527" s="5"/>
      <c r="N2527" s="5"/>
      <c r="O2527" s="5"/>
      <c r="P2527" s="5"/>
    </row>
    <row r="2528" spans="2:16" s="8" customFormat="1" ht="12.75" hidden="1" customHeight="1">
      <c r="B2528" s="37"/>
      <c r="C2528" s="37"/>
      <c r="D2528" s="38"/>
      <c r="E2528" s="38"/>
      <c r="F2528" s="39"/>
      <c r="K2528" s="5"/>
      <c r="L2528" s="5"/>
      <c r="M2528" s="5"/>
      <c r="N2528" s="5"/>
      <c r="O2528" s="5"/>
      <c r="P2528" s="5"/>
    </row>
    <row r="2529" spans="2:16" s="8" customFormat="1" ht="12.75" hidden="1" customHeight="1">
      <c r="B2529" s="37"/>
      <c r="C2529" s="37"/>
      <c r="D2529" s="38"/>
      <c r="E2529" s="38"/>
      <c r="F2529" s="39"/>
      <c r="K2529" s="5"/>
      <c r="L2529" s="5"/>
      <c r="M2529" s="5"/>
      <c r="N2529" s="5"/>
      <c r="O2529" s="5"/>
      <c r="P2529" s="5"/>
    </row>
    <row r="2530" spans="2:16" s="8" customFormat="1" ht="12.75" hidden="1" customHeight="1">
      <c r="B2530" s="37"/>
      <c r="C2530" s="37"/>
      <c r="D2530" s="38"/>
      <c r="E2530" s="38"/>
      <c r="F2530" s="39"/>
      <c r="K2530" s="5"/>
      <c r="L2530" s="5"/>
      <c r="M2530" s="5"/>
      <c r="N2530" s="5"/>
      <c r="O2530" s="5"/>
      <c r="P2530" s="5"/>
    </row>
    <row r="2531" spans="2:16" s="8" customFormat="1" ht="12.75" hidden="1" customHeight="1">
      <c r="B2531" s="37"/>
      <c r="C2531" s="37"/>
      <c r="D2531" s="38"/>
      <c r="E2531" s="38"/>
      <c r="F2531" s="39"/>
      <c r="K2531" s="5"/>
      <c r="L2531" s="5"/>
      <c r="M2531" s="5"/>
      <c r="N2531" s="5"/>
      <c r="O2531" s="5"/>
      <c r="P2531" s="5"/>
    </row>
    <row r="2532" spans="2:16" s="8" customFormat="1" ht="12.75" hidden="1" customHeight="1">
      <c r="B2532" s="37"/>
      <c r="C2532" s="37"/>
      <c r="D2532" s="38"/>
      <c r="E2532" s="38"/>
      <c r="F2532" s="39"/>
      <c r="K2532" s="5"/>
      <c r="L2532" s="5"/>
      <c r="M2532" s="5"/>
      <c r="N2532" s="5"/>
      <c r="O2532" s="5"/>
      <c r="P2532" s="5"/>
    </row>
    <row r="2533" spans="2:16" s="8" customFormat="1" ht="12.75" hidden="1" customHeight="1">
      <c r="B2533" s="37"/>
      <c r="C2533" s="37"/>
      <c r="D2533" s="38"/>
      <c r="E2533" s="38"/>
      <c r="F2533" s="39"/>
      <c r="K2533" s="5"/>
      <c r="L2533" s="5"/>
      <c r="M2533" s="5"/>
      <c r="N2533" s="5"/>
      <c r="O2533" s="5"/>
      <c r="P2533" s="5"/>
    </row>
    <row r="2534" spans="2:16" s="8" customFormat="1" ht="12.75" hidden="1" customHeight="1">
      <c r="B2534" s="37"/>
      <c r="C2534" s="37"/>
      <c r="D2534" s="38"/>
      <c r="E2534" s="38"/>
      <c r="F2534" s="39"/>
      <c r="K2534" s="5"/>
      <c r="L2534" s="5"/>
      <c r="M2534" s="5"/>
      <c r="N2534" s="5"/>
      <c r="O2534" s="5"/>
      <c r="P2534" s="5"/>
    </row>
    <row r="2535" spans="2:16" s="8" customFormat="1" ht="12.75" hidden="1" customHeight="1">
      <c r="B2535" s="37"/>
      <c r="C2535" s="37"/>
      <c r="D2535" s="38"/>
      <c r="E2535" s="38"/>
      <c r="F2535" s="39"/>
      <c r="K2535" s="5"/>
      <c r="L2535" s="5"/>
      <c r="M2535" s="5"/>
      <c r="N2535" s="5"/>
      <c r="O2535" s="5"/>
      <c r="P2535" s="5"/>
    </row>
    <row r="2536" spans="2:16" s="8" customFormat="1" ht="12.75" hidden="1" customHeight="1">
      <c r="B2536" s="37"/>
      <c r="C2536" s="37"/>
      <c r="D2536" s="38"/>
      <c r="E2536" s="38"/>
      <c r="F2536" s="39"/>
      <c r="K2536" s="5"/>
      <c r="L2536" s="5"/>
      <c r="M2536" s="5"/>
      <c r="N2536" s="5"/>
      <c r="O2536" s="5"/>
      <c r="P2536" s="5"/>
    </row>
    <row r="2537" spans="2:16" s="8" customFormat="1" ht="12.75" hidden="1" customHeight="1">
      <c r="B2537" s="37"/>
      <c r="C2537" s="37"/>
      <c r="D2537" s="38"/>
      <c r="E2537" s="38"/>
      <c r="F2537" s="39"/>
      <c r="K2537" s="5"/>
      <c r="L2537" s="5"/>
      <c r="M2537" s="5"/>
      <c r="N2537" s="5"/>
      <c r="O2537" s="5"/>
      <c r="P2537" s="5"/>
    </row>
    <row r="2538" spans="2:16" s="8" customFormat="1" ht="12.75" hidden="1" customHeight="1">
      <c r="B2538" s="37"/>
      <c r="C2538" s="37"/>
      <c r="D2538" s="38"/>
      <c r="E2538" s="38"/>
      <c r="F2538" s="39"/>
      <c r="K2538" s="5"/>
      <c r="L2538" s="5"/>
      <c r="M2538" s="5"/>
      <c r="N2538" s="5"/>
      <c r="O2538" s="5"/>
      <c r="P2538" s="5"/>
    </row>
    <row r="2539" spans="2:16" s="8" customFormat="1" ht="12.75" hidden="1" customHeight="1">
      <c r="B2539" s="37"/>
      <c r="C2539" s="37"/>
      <c r="D2539" s="38"/>
      <c r="E2539" s="38"/>
      <c r="F2539" s="39"/>
      <c r="K2539" s="5"/>
      <c r="L2539" s="5"/>
      <c r="M2539" s="5"/>
      <c r="N2539" s="5"/>
      <c r="O2539" s="5"/>
      <c r="P2539" s="5"/>
    </row>
    <row r="2540" spans="2:16" s="8" customFormat="1" ht="12.75" hidden="1" customHeight="1">
      <c r="B2540" s="37"/>
      <c r="C2540" s="37"/>
      <c r="D2540" s="38"/>
      <c r="E2540" s="38"/>
      <c r="F2540" s="39"/>
      <c r="K2540" s="5"/>
      <c r="L2540" s="5"/>
      <c r="M2540" s="5"/>
      <c r="N2540" s="5"/>
      <c r="O2540" s="5"/>
      <c r="P2540" s="5"/>
    </row>
    <row r="2541" spans="2:16" s="8" customFormat="1" ht="12.75" hidden="1" customHeight="1">
      <c r="B2541" s="37"/>
      <c r="C2541" s="37"/>
      <c r="D2541" s="38"/>
      <c r="E2541" s="38"/>
      <c r="F2541" s="39"/>
      <c r="K2541" s="5"/>
      <c r="L2541" s="5"/>
      <c r="M2541" s="5"/>
      <c r="N2541" s="5"/>
      <c r="O2541" s="5"/>
      <c r="P2541" s="5"/>
    </row>
    <row r="2542" spans="2:16" s="8" customFormat="1" ht="12.75" hidden="1" customHeight="1">
      <c r="B2542" s="37"/>
      <c r="C2542" s="37"/>
      <c r="D2542" s="38"/>
      <c r="E2542" s="38"/>
      <c r="F2542" s="39"/>
      <c r="K2542" s="5"/>
      <c r="L2542" s="5"/>
      <c r="M2542" s="5"/>
      <c r="N2542" s="5"/>
      <c r="O2542" s="5"/>
      <c r="P2542" s="5"/>
    </row>
    <row r="2543" spans="2:16" s="8" customFormat="1" ht="12.75" hidden="1" customHeight="1">
      <c r="B2543" s="37"/>
      <c r="C2543" s="37"/>
      <c r="D2543" s="38"/>
      <c r="E2543" s="38"/>
      <c r="F2543" s="39"/>
      <c r="K2543" s="5"/>
      <c r="L2543" s="5"/>
      <c r="M2543" s="5"/>
      <c r="N2543" s="5"/>
      <c r="O2543" s="5"/>
      <c r="P2543" s="5"/>
    </row>
    <row r="2544" spans="2:16" s="8" customFormat="1" ht="12.75" hidden="1" customHeight="1">
      <c r="B2544" s="37"/>
      <c r="C2544" s="37"/>
      <c r="D2544" s="38"/>
      <c r="E2544" s="38"/>
      <c r="F2544" s="39"/>
      <c r="K2544" s="5"/>
      <c r="L2544" s="5"/>
      <c r="M2544" s="5"/>
      <c r="N2544" s="5"/>
      <c r="O2544" s="5"/>
      <c r="P2544" s="5"/>
    </row>
    <row r="2545" spans="2:16" s="8" customFormat="1" ht="12.75" hidden="1" customHeight="1">
      <c r="B2545" s="37"/>
      <c r="C2545" s="37"/>
      <c r="D2545" s="38"/>
      <c r="E2545" s="38"/>
      <c r="F2545" s="39"/>
      <c r="K2545" s="5"/>
      <c r="L2545" s="5"/>
      <c r="M2545" s="5"/>
      <c r="N2545" s="5"/>
      <c r="O2545" s="5"/>
      <c r="P2545" s="5"/>
    </row>
    <row r="2546" spans="2:16" s="8" customFormat="1" ht="12.75" hidden="1" customHeight="1">
      <c r="B2546" s="37"/>
      <c r="C2546" s="37"/>
      <c r="D2546" s="38"/>
      <c r="E2546" s="38"/>
      <c r="F2546" s="39"/>
      <c r="K2546" s="5"/>
      <c r="L2546" s="5"/>
      <c r="M2546" s="5"/>
      <c r="N2546" s="5"/>
      <c r="O2546" s="5"/>
      <c r="P2546" s="5"/>
    </row>
    <row r="2547" spans="2:16" s="8" customFormat="1" ht="12.75" hidden="1" customHeight="1">
      <c r="B2547" s="37"/>
      <c r="C2547" s="37"/>
      <c r="D2547" s="38"/>
      <c r="E2547" s="38"/>
      <c r="F2547" s="39"/>
      <c r="K2547" s="5"/>
      <c r="L2547" s="5"/>
      <c r="M2547" s="5"/>
      <c r="N2547" s="5"/>
      <c r="O2547" s="5"/>
      <c r="P2547" s="5"/>
    </row>
    <row r="2548" spans="2:16" s="8" customFormat="1" ht="12.75" hidden="1" customHeight="1">
      <c r="B2548" s="37"/>
      <c r="C2548" s="37"/>
      <c r="D2548" s="38"/>
      <c r="E2548" s="38"/>
      <c r="F2548" s="39"/>
      <c r="K2548" s="5"/>
      <c r="L2548" s="5"/>
      <c r="M2548" s="5"/>
      <c r="N2548" s="5"/>
      <c r="O2548" s="5"/>
      <c r="P2548" s="5"/>
    </row>
    <row r="2549" spans="2:16" s="8" customFormat="1" ht="12.75" hidden="1" customHeight="1">
      <c r="B2549" s="37"/>
      <c r="C2549" s="37"/>
      <c r="D2549" s="38"/>
      <c r="E2549" s="38"/>
      <c r="F2549" s="39"/>
      <c r="K2549" s="5"/>
      <c r="L2549" s="5"/>
      <c r="M2549" s="5"/>
      <c r="N2549" s="5"/>
      <c r="O2549" s="5"/>
      <c r="P2549" s="5"/>
    </row>
    <row r="2550" spans="2:16" s="8" customFormat="1" ht="12.75" hidden="1" customHeight="1">
      <c r="B2550" s="37"/>
      <c r="C2550" s="37"/>
      <c r="D2550" s="38"/>
      <c r="E2550" s="38"/>
      <c r="F2550" s="39"/>
      <c r="K2550" s="5"/>
      <c r="L2550" s="5"/>
      <c r="M2550" s="5"/>
      <c r="N2550" s="5"/>
      <c r="O2550" s="5"/>
      <c r="P2550" s="5"/>
    </row>
    <row r="2551" spans="2:16" s="8" customFormat="1" ht="12.75" hidden="1" customHeight="1">
      <c r="B2551" s="37"/>
      <c r="C2551" s="37"/>
      <c r="D2551" s="38"/>
      <c r="E2551" s="38"/>
      <c r="F2551" s="39"/>
      <c r="K2551" s="5"/>
      <c r="L2551" s="5"/>
      <c r="M2551" s="5"/>
      <c r="N2551" s="5"/>
      <c r="O2551" s="5"/>
      <c r="P2551" s="5"/>
    </row>
    <row r="2552" spans="2:16" s="8" customFormat="1" ht="12.75" hidden="1" customHeight="1">
      <c r="B2552" s="37"/>
      <c r="C2552" s="37"/>
      <c r="D2552" s="38"/>
      <c r="E2552" s="38"/>
      <c r="F2552" s="39"/>
      <c r="K2552" s="5"/>
      <c r="L2552" s="5"/>
      <c r="M2552" s="5"/>
      <c r="N2552" s="5"/>
      <c r="O2552" s="5"/>
      <c r="P2552" s="5"/>
    </row>
    <row r="2553" spans="2:16" s="8" customFormat="1" ht="12.75" hidden="1" customHeight="1">
      <c r="B2553" s="37"/>
      <c r="C2553" s="37"/>
      <c r="D2553" s="38"/>
      <c r="E2553" s="38"/>
      <c r="F2553" s="39"/>
      <c r="K2553" s="5"/>
      <c r="L2553" s="5"/>
      <c r="M2553" s="5"/>
      <c r="N2553" s="5"/>
      <c r="O2553" s="5"/>
      <c r="P2553" s="5"/>
    </row>
    <row r="2554" spans="2:16" s="8" customFormat="1" ht="12.75" hidden="1" customHeight="1">
      <c r="B2554" s="37"/>
      <c r="C2554" s="37"/>
      <c r="D2554" s="38"/>
      <c r="E2554" s="38"/>
      <c r="F2554" s="39"/>
      <c r="K2554" s="5"/>
      <c r="L2554" s="5"/>
      <c r="M2554" s="5"/>
      <c r="N2554" s="5"/>
      <c r="O2554" s="5"/>
      <c r="P2554" s="5"/>
    </row>
    <row r="2555" spans="2:16" s="8" customFormat="1" ht="12.75" hidden="1" customHeight="1">
      <c r="B2555" s="37"/>
      <c r="C2555" s="37"/>
      <c r="D2555" s="38"/>
      <c r="E2555" s="38"/>
      <c r="F2555" s="39"/>
      <c r="K2555" s="5"/>
      <c r="L2555" s="5"/>
      <c r="M2555" s="5"/>
      <c r="N2555" s="5"/>
      <c r="O2555" s="5"/>
      <c r="P2555" s="5"/>
    </row>
    <row r="2556" spans="2:16" s="8" customFormat="1" ht="12.75" hidden="1" customHeight="1">
      <c r="B2556" s="37"/>
      <c r="C2556" s="37"/>
      <c r="D2556" s="38"/>
      <c r="E2556" s="38"/>
      <c r="F2556" s="39"/>
      <c r="K2556" s="5"/>
      <c r="L2556" s="5"/>
      <c r="M2556" s="5"/>
      <c r="N2556" s="5"/>
      <c r="O2556" s="5"/>
      <c r="P2556" s="5"/>
    </row>
    <row r="2557" spans="2:16" s="8" customFormat="1" ht="12.75" hidden="1" customHeight="1">
      <c r="B2557" s="37"/>
      <c r="C2557" s="37"/>
      <c r="D2557" s="38"/>
      <c r="E2557" s="38"/>
      <c r="F2557" s="39"/>
      <c r="K2557" s="5"/>
      <c r="L2557" s="5"/>
      <c r="M2557" s="5"/>
      <c r="N2557" s="5"/>
      <c r="O2557" s="5"/>
      <c r="P2557" s="5"/>
    </row>
    <row r="2558" spans="2:16" s="8" customFormat="1" ht="12.75" hidden="1" customHeight="1">
      <c r="B2558" s="37"/>
      <c r="C2558" s="37"/>
      <c r="D2558" s="38"/>
      <c r="E2558" s="38"/>
      <c r="F2558" s="39"/>
      <c r="K2558" s="5"/>
      <c r="L2558" s="5"/>
      <c r="M2558" s="5"/>
      <c r="N2558" s="5"/>
      <c r="O2558" s="5"/>
      <c r="P2558" s="5"/>
    </row>
    <row r="2559" spans="2:16" s="8" customFormat="1" ht="12.75" hidden="1" customHeight="1">
      <c r="B2559" s="37"/>
      <c r="C2559" s="37"/>
      <c r="D2559" s="38"/>
      <c r="E2559" s="38"/>
      <c r="F2559" s="39"/>
      <c r="K2559" s="5"/>
      <c r="L2559" s="5"/>
      <c r="M2559" s="5"/>
      <c r="N2559" s="5"/>
      <c r="O2559" s="5"/>
      <c r="P2559" s="5"/>
    </row>
    <row r="2560" spans="2:16" s="8" customFormat="1" ht="12.75" hidden="1" customHeight="1">
      <c r="B2560" s="37"/>
      <c r="C2560" s="37"/>
      <c r="D2560" s="38"/>
      <c r="E2560" s="38"/>
      <c r="F2560" s="39"/>
      <c r="K2560" s="5"/>
      <c r="L2560" s="5"/>
      <c r="M2560" s="5"/>
      <c r="N2560" s="5"/>
      <c r="O2560" s="5"/>
      <c r="P2560" s="5"/>
    </row>
    <row r="2561" spans="2:16" s="8" customFormat="1" ht="12.75" hidden="1" customHeight="1">
      <c r="B2561" s="37"/>
      <c r="C2561" s="37"/>
      <c r="D2561" s="38"/>
      <c r="E2561" s="38"/>
      <c r="F2561" s="39"/>
      <c r="K2561" s="5"/>
      <c r="L2561" s="5"/>
      <c r="M2561" s="5"/>
      <c r="N2561" s="5"/>
      <c r="O2561" s="5"/>
      <c r="P2561" s="5"/>
    </row>
    <row r="2562" spans="2:16" s="8" customFormat="1" ht="12.75" hidden="1" customHeight="1">
      <c r="B2562" s="37"/>
      <c r="C2562" s="37"/>
      <c r="D2562" s="38"/>
      <c r="E2562" s="38"/>
      <c r="F2562" s="39"/>
      <c r="K2562" s="5"/>
      <c r="L2562" s="5"/>
      <c r="M2562" s="5"/>
      <c r="N2562" s="5"/>
      <c r="O2562" s="5"/>
      <c r="P2562" s="5"/>
    </row>
    <row r="2563" spans="2:16" s="8" customFormat="1" ht="12.75" hidden="1" customHeight="1">
      <c r="B2563" s="37"/>
      <c r="C2563" s="37"/>
      <c r="D2563" s="38"/>
      <c r="E2563" s="38"/>
      <c r="F2563" s="39"/>
      <c r="K2563" s="5"/>
      <c r="L2563" s="5"/>
      <c r="M2563" s="5"/>
      <c r="N2563" s="5"/>
      <c r="O2563" s="5"/>
      <c r="P2563" s="5"/>
    </row>
    <row r="2564" spans="2:16" s="8" customFormat="1" ht="12.75" hidden="1" customHeight="1">
      <c r="B2564" s="37"/>
      <c r="C2564" s="37"/>
      <c r="D2564" s="38"/>
      <c r="E2564" s="38"/>
      <c r="F2564" s="39"/>
      <c r="K2564" s="5"/>
      <c r="L2564" s="5"/>
      <c r="M2564" s="5"/>
      <c r="N2564" s="5"/>
      <c r="O2564" s="5"/>
      <c r="P2564" s="5"/>
    </row>
    <row r="2565" spans="2:16" s="8" customFormat="1" ht="12.75" hidden="1" customHeight="1">
      <c r="B2565" s="37"/>
      <c r="C2565" s="37"/>
      <c r="D2565" s="38"/>
      <c r="E2565" s="38"/>
      <c r="F2565" s="39"/>
      <c r="K2565" s="5"/>
      <c r="L2565" s="5"/>
      <c r="M2565" s="5"/>
      <c r="N2565" s="5"/>
      <c r="O2565" s="5"/>
      <c r="P2565" s="5"/>
    </row>
    <row r="2566" spans="2:16" s="8" customFormat="1" ht="12.75" hidden="1" customHeight="1">
      <c r="B2566" s="37"/>
      <c r="C2566" s="37"/>
      <c r="D2566" s="38"/>
      <c r="E2566" s="38"/>
      <c r="F2566" s="39"/>
      <c r="K2566" s="5"/>
      <c r="L2566" s="5"/>
      <c r="M2566" s="5"/>
      <c r="N2566" s="5"/>
      <c r="O2566" s="5"/>
      <c r="P2566" s="5"/>
    </row>
    <row r="2567" spans="2:16" s="8" customFormat="1" ht="12.75" hidden="1" customHeight="1">
      <c r="B2567" s="37"/>
      <c r="C2567" s="37"/>
      <c r="D2567" s="38"/>
      <c r="E2567" s="38"/>
      <c r="F2567" s="39"/>
      <c r="K2567" s="5"/>
      <c r="L2567" s="5"/>
      <c r="M2567" s="5"/>
      <c r="N2567" s="5"/>
      <c r="O2567" s="5"/>
      <c r="P2567" s="5"/>
    </row>
    <row r="2568" spans="2:16" s="8" customFormat="1" ht="12.75" hidden="1" customHeight="1">
      <c r="B2568" s="37"/>
      <c r="C2568" s="37"/>
      <c r="D2568" s="38"/>
      <c r="E2568" s="38"/>
      <c r="F2568" s="39"/>
      <c r="K2568" s="5"/>
      <c r="L2568" s="5"/>
      <c r="M2568" s="5"/>
      <c r="N2568" s="5"/>
      <c r="O2568" s="5"/>
      <c r="P2568" s="5"/>
    </row>
    <row r="2569" spans="2:16" s="8" customFormat="1" ht="12.75" hidden="1" customHeight="1">
      <c r="B2569" s="37"/>
      <c r="C2569" s="37"/>
      <c r="D2569" s="38"/>
      <c r="E2569" s="38"/>
      <c r="F2569" s="39"/>
      <c r="K2569" s="5"/>
      <c r="L2569" s="5"/>
      <c r="M2569" s="5"/>
      <c r="N2569" s="5"/>
      <c r="O2569" s="5"/>
      <c r="P2569" s="5"/>
    </row>
    <row r="2570" spans="2:16" s="8" customFormat="1" ht="12.75" hidden="1" customHeight="1">
      <c r="B2570" s="37"/>
      <c r="C2570" s="37"/>
      <c r="D2570" s="38"/>
      <c r="E2570" s="38"/>
      <c r="F2570" s="39"/>
      <c r="K2570" s="5"/>
      <c r="L2570" s="5"/>
      <c r="M2570" s="5"/>
      <c r="N2570" s="5"/>
      <c r="O2570" s="5"/>
      <c r="P2570" s="5"/>
    </row>
    <row r="2571" spans="2:16" s="8" customFormat="1" ht="12.75" hidden="1" customHeight="1">
      <c r="B2571" s="37"/>
      <c r="C2571" s="37"/>
      <c r="D2571" s="38"/>
      <c r="E2571" s="38"/>
      <c r="F2571" s="39"/>
      <c r="K2571" s="5"/>
      <c r="L2571" s="5"/>
      <c r="M2571" s="5"/>
      <c r="N2571" s="5"/>
      <c r="O2571" s="5"/>
      <c r="P2571" s="5"/>
    </row>
    <row r="2572" spans="2:16" s="8" customFormat="1" ht="12.75" hidden="1" customHeight="1">
      <c r="B2572" s="37"/>
      <c r="C2572" s="37"/>
      <c r="D2572" s="38"/>
      <c r="E2572" s="38"/>
      <c r="F2572" s="39"/>
      <c r="K2572" s="5"/>
      <c r="L2572" s="5"/>
      <c r="M2572" s="5"/>
      <c r="N2572" s="5"/>
      <c r="O2572" s="5"/>
      <c r="P2572" s="5"/>
    </row>
    <row r="2573" spans="2:16" s="8" customFormat="1" ht="12.75" hidden="1" customHeight="1">
      <c r="B2573" s="37"/>
      <c r="C2573" s="37"/>
      <c r="D2573" s="38"/>
      <c r="E2573" s="38"/>
      <c r="F2573" s="39"/>
      <c r="K2573" s="5"/>
      <c r="L2573" s="5"/>
      <c r="M2573" s="5"/>
      <c r="N2573" s="5"/>
      <c r="O2573" s="5"/>
      <c r="P2573" s="5"/>
    </row>
    <row r="2574" spans="2:16" s="8" customFormat="1" ht="12.75" hidden="1" customHeight="1">
      <c r="B2574" s="37"/>
      <c r="C2574" s="37"/>
      <c r="D2574" s="38"/>
      <c r="E2574" s="38"/>
      <c r="F2574" s="39"/>
      <c r="K2574" s="5"/>
      <c r="L2574" s="5"/>
      <c r="M2574" s="5"/>
      <c r="N2574" s="5"/>
      <c r="O2574" s="5"/>
      <c r="P2574" s="5"/>
    </row>
    <row r="2575" spans="2:16" s="8" customFormat="1" ht="12.75" hidden="1" customHeight="1">
      <c r="B2575" s="37"/>
      <c r="C2575" s="37"/>
      <c r="D2575" s="38"/>
      <c r="E2575" s="38"/>
      <c r="F2575" s="39"/>
      <c r="K2575" s="5"/>
      <c r="L2575" s="5"/>
      <c r="M2575" s="5"/>
      <c r="N2575" s="5"/>
      <c r="O2575" s="5"/>
      <c r="P2575" s="5"/>
    </row>
    <row r="2576" spans="2:16" s="8" customFormat="1" ht="12.75" hidden="1" customHeight="1">
      <c r="B2576" s="37"/>
      <c r="C2576" s="37"/>
      <c r="D2576" s="38"/>
      <c r="E2576" s="38"/>
      <c r="F2576" s="39"/>
      <c r="K2576" s="5"/>
      <c r="L2576" s="5"/>
      <c r="M2576" s="5"/>
      <c r="N2576" s="5"/>
      <c r="O2576" s="5"/>
      <c r="P2576" s="5"/>
    </row>
    <row r="2577" spans="2:16" s="8" customFormat="1" ht="12.75" hidden="1" customHeight="1">
      <c r="B2577" s="37"/>
      <c r="C2577" s="37"/>
      <c r="D2577" s="38"/>
      <c r="E2577" s="38"/>
      <c r="F2577" s="39"/>
      <c r="K2577" s="5"/>
      <c r="L2577" s="5"/>
      <c r="M2577" s="5"/>
      <c r="N2577" s="5"/>
      <c r="O2577" s="5"/>
      <c r="P2577" s="5"/>
    </row>
    <row r="2578" spans="2:16" s="8" customFormat="1" ht="12.75" hidden="1" customHeight="1">
      <c r="B2578" s="37"/>
      <c r="C2578" s="37"/>
      <c r="D2578" s="38"/>
      <c r="E2578" s="38"/>
      <c r="F2578" s="39"/>
      <c r="K2578" s="5"/>
      <c r="L2578" s="5"/>
      <c r="M2578" s="5"/>
      <c r="N2578" s="5"/>
      <c r="O2578" s="5"/>
      <c r="P2578" s="5"/>
    </row>
    <row r="2579" spans="2:16" s="8" customFormat="1" ht="12.75" hidden="1" customHeight="1">
      <c r="B2579" s="37"/>
      <c r="C2579" s="37"/>
      <c r="D2579" s="38"/>
      <c r="E2579" s="38"/>
      <c r="F2579" s="39"/>
      <c r="K2579" s="5"/>
      <c r="L2579" s="5"/>
      <c r="M2579" s="5"/>
      <c r="N2579" s="5"/>
      <c r="O2579" s="5"/>
      <c r="P2579" s="5"/>
    </row>
    <row r="2580" spans="2:16" s="8" customFormat="1" ht="12.75" hidden="1" customHeight="1">
      <c r="B2580" s="37"/>
      <c r="C2580" s="37"/>
      <c r="D2580" s="38"/>
      <c r="E2580" s="38"/>
      <c r="F2580" s="39"/>
      <c r="K2580" s="5"/>
      <c r="L2580" s="5"/>
      <c r="M2580" s="5"/>
      <c r="N2580" s="5"/>
      <c r="O2580" s="5"/>
      <c r="P2580" s="5"/>
    </row>
    <row r="2581" spans="2:16" s="8" customFormat="1" ht="12.75" hidden="1" customHeight="1">
      <c r="B2581" s="37"/>
      <c r="C2581" s="37"/>
      <c r="D2581" s="38"/>
      <c r="E2581" s="38"/>
      <c r="F2581" s="39"/>
      <c r="K2581" s="5"/>
      <c r="L2581" s="5"/>
      <c r="M2581" s="5"/>
      <c r="N2581" s="5"/>
      <c r="O2581" s="5"/>
      <c r="P2581" s="5"/>
    </row>
    <row r="2582" spans="2:16" s="8" customFormat="1" ht="12.75" hidden="1" customHeight="1">
      <c r="B2582" s="37"/>
      <c r="C2582" s="37"/>
      <c r="D2582" s="38"/>
      <c r="E2582" s="38"/>
      <c r="F2582" s="39"/>
      <c r="K2582" s="5"/>
      <c r="L2582" s="5"/>
      <c r="M2582" s="5"/>
      <c r="N2582" s="5"/>
      <c r="O2582" s="5"/>
      <c r="P2582" s="5"/>
    </row>
    <row r="2583" spans="2:16" s="8" customFormat="1" ht="12.75" hidden="1" customHeight="1">
      <c r="B2583" s="37"/>
      <c r="C2583" s="37"/>
      <c r="D2583" s="38"/>
      <c r="E2583" s="38"/>
      <c r="F2583" s="39"/>
      <c r="K2583" s="5"/>
      <c r="L2583" s="5"/>
      <c r="M2583" s="5"/>
      <c r="N2583" s="5"/>
      <c r="O2583" s="5"/>
      <c r="P2583" s="5"/>
    </row>
    <row r="2584" spans="2:16" s="8" customFormat="1" ht="12.75" hidden="1" customHeight="1">
      <c r="B2584" s="37"/>
      <c r="C2584" s="37"/>
      <c r="D2584" s="38"/>
      <c r="E2584" s="38"/>
      <c r="F2584" s="39"/>
      <c r="K2584" s="5"/>
      <c r="L2584" s="5"/>
      <c r="M2584" s="5"/>
      <c r="N2584" s="5"/>
      <c r="O2584" s="5"/>
      <c r="P2584" s="5"/>
    </row>
    <row r="2585" spans="2:16" s="8" customFormat="1" ht="12.75" hidden="1" customHeight="1">
      <c r="B2585" s="37"/>
      <c r="C2585" s="37"/>
      <c r="D2585" s="38"/>
      <c r="E2585" s="38"/>
      <c r="F2585" s="39"/>
      <c r="K2585" s="5"/>
      <c r="L2585" s="5"/>
      <c r="M2585" s="5"/>
      <c r="N2585" s="5"/>
      <c r="O2585" s="5"/>
      <c r="P2585" s="5"/>
    </row>
    <row r="2586" spans="2:16" s="8" customFormat="1" ht="12.75" hidden="1" customHeight="1">
      <c r="B2586" s="37"/>
      <c r="C2586" s="37"/>
      <c r="D2586" s="38"/>
      <c r="E2586" s="38"/>
      <c r="F2586" s="39"/>
      <c r="K2586" s="5"/>
      <c r="L2586" s="5"/>
      <c r="M2586" s="5"/>
      <c r="N2586" s="5"/>
      <c r="O2586" s="5"/>
      <c r="P2586" s="5"/>
    </row>
    <row r="2587" spans="2:16" s="8" customFormat="1" ht="12.75" hidden="1" customHeight="1">
      <c r="B2587" s="37"/>
      <c r="C2587" s="37"/>
      <c r="D2587" s="38"/>
      <c r="E2587" s="38"/>
      <c r="F2587" s="39"/>
      <c r="K2587" s="5"/>
      <c r="L2587" s="5"/>
      <c r="M2587" s="5"/>
      <c r="N2587" s="5"/>
      <c r="O2587" s="5"/>
      <c r="P2587" s="5"/>
    </row>
    <row r="2588" spans="2:16" s="8" customFormat="1" ht="12.75" hidden="1" customHeight="1">
      <c r="B2588" s="37"/>
      <c r="C2588" s="37"/>
      <c r="D2588" s="38"/>
      <c r="E2588" s="38"/>
      <c r="F2588" s="39"/>
      <c r="K2588" s="5"/>
      <c r="L2588" s="5"/>
      <c r="M2588" s="5"/>
      <c r="N2588" s="5"/>
      <c r="O2588" s="5"/>
      <c r="P2588" s="5"/>
    </row>
    <row r="2589" spans="2:16" s="8" customFormat="1" ht="12.75" hidden="1" customHeight="1">
      <c r="B2589" s="37"/>
      <c r="C2589" s="37"/>
      <c r="D2589" s="38"/>
      <c r="E2589" s="38"/>
      <c r="F2589" s="39"/>
      <c r="K2589" s="5"/>
      <c r="L2589" s="5"/>
      <c r="M2589" s="5"/>
      <c r="N2589" s="5"/>
      <c r="O2589" s="5"/>
      <c r="P2589" s="5"/>
    </row>
    <row r="2590" spans="2:16" s="8" customFormat="1" ht="12.75" hidden="1" customHeight="1">
      <c r="B2590" s="37"/>
      <c r="C2590" s="37"/>
      <c r="D2590" s="38"/>
      <c r="E2590" s="38"/>
      <c r="F2590" s="39"/>
      <c r="K2590" s="5"/>
      <c r="L2590" s="5"/>
      <c r="M2590" s="5"/>
      <c r="N2590" s="5"/>
      <c r="O2590" s="5"/>
      <c r="P2590" s="5"/>
    </row>
    <row r="2591" spans="2:16" s="8" customFormat="1" ht="12.75" hidden="1" customHeight="1">
      <c r="B2591" s="37"/>
      <c r="C2591" s="37"/>
      <c r="D2591" s="38"/>
      <c r="E2591" s="38"/>
      <c r="F2591" s="39"/>
      <c r="K2591" s="5"/>
      <c r="L2591" s="5"/>
      <c r="M2591" s="5"/>
      <c r="N2591" s="5"/>
      <c r="O2591" s="5"/>
      <c r="P2591" s="5"/>
    </row>
    <row r="2592" spans="2:16" s="8" customFormat="1" ht="12.75" hidden="1" customHeight="1">
      <c r="B2592" s="37"/>
      <c r="C2592" s="37"/>
      <c r="D2592" s="38"/>
      <c r="E2592" s="38"/>
      <c r="F2592" s="39"/>
      <c r="K2592" s="5"/>
      <c r="L2592" s="5"/>
      <c r="M2592" s="5"/>
      <c r="N2592" s="5"/>
      <c r="O2592" s="5"/>
      <c r="P2592" s="5"/>
    </row>
    <row r="2593" spans="2:16" s="8" customFormat="1" ht="12.75" hidden="1" customHeight="1">
      <c r="B2593" s="37"/>
      <c r="C2593" s="37"/>
      <c r="D2593" s="38"/>
      <c r="E2593" s="38"/>
      <c r="F2593" s="39"/>
      <c r="K2593" s="5"/>
      <c r="L2593" s="5"/>
      <c r="M2593" s="5"/>
      <c r="N2593" s="5"/>
      <c r="O2593" s="5"/>
      <c r="P2593" s="5"/>
    </row>
    <row r="2594" spans="2:16" s="8" customFormat="1" ht="12.75" hidden="1" customHeight="1">
      <c r="B2594" s="37"/>
      <c r="C2594" s="37"/>
      <c r="D2594" s="38"/>
      <c r="E2594" s="38"/>
      <c r="F2594" s="39"/>
      <c r="K2594" s="5"/>
      <c r="L2594" s="5"/>
      <c r="M2594" s="5"/>
      <c r="N2594" s="5"/>
      <c r="O2594" s="5"/>
      <c r="P2594" s="5"/>
    </row>
    <row r="2595" spans="2:16" s="8" customFormat="1" ht="12.75" hidden="1" customHeight="1">
      <c r="B2595" s="37"/>
      <c r="C2595" s="37"/>
      <c r="D2595" s="38"/>
      <c r="E2595" s="38"/>
      <c r="F2595" s="39"/>
      <c r="K2595" s="5"/>
      <c r="L2595" s="5"/>
      <c r="M2595" s="5"/>
      <c r="N2595" s="5"/>
      <c r="O2595" s="5"/>
      <c r="P2595" s="5"/>
    </row>
    <row r="2596" spans="2:16" s="8" customFormat="1" ht="12.75" hidden="1" customHeight="1">
      <c r="B2596" s="37"/>
      <c r="C2596" s="37"/>
      <c r="D2596" s="38"/>
      <c r="E2596" s="38"/>
      <c r="F2596" s="39"/>
      <c r="K2596" s="5"/>
      <c r="L2596" s="5"/>
      <c r="M2596" s="5"/>
      <c r="N2596" s="5"/>
      <c r="O2596" s="5"/>
      <c r="P2596" s="5"/>
    </row>
    <row r="2597" spans="2:16" s="8" customFormat="1" ht="12.75" hidden="1" customHeight="1">
      <c r="B2597" s="37"/>
      <c r="C2597" s="37"/>
      <c r="D2597" s="38"/>
      <c r="E2597" s="38"/>
      <c r="F2597" s="39"/>
      <c r="K2597" s="5"/>
      <c r="L2597" s="5"/>
      <c r="M2597" s="5"/>
      <c r="N2597" s="5"/>
      <c r="O2597" s="5"/>
      <c r="P2597" s="5"/>
    </row>
    <row r="2598" spans="2:16" s="8" customFormat="1" ht="12.75" hidden="1" customHeight="1">
      <c r="B2598" s="37"/>
      <c r="C2598" s="37"/>
      <c r="D2598" s="38"/>
      <c r="E2598" s="38"/>
      <c r="F2598" s="39"/>
      <c r="K2598" s="5"/>
      <c r="L2598" s="5"/>
      <c r="M2598" s="5"/>
      <c r="N2598" s="5"/>
      <c r="O2598" s="5"/>
      <c r="P2598" s="5"/>
    </row>
    <row r="2599" spans="2:16" s="8" customFormat="1" ht="12.75" hidden="1" customHeight="1">
      <c r="B2599" s="37"/>
      <c r="C2599" s="37"/>
      <c r="D2599" s="38"/>
      <c r="E2599" s="38"/>
      <c r="F2599" s="39"/>
      <c r="K2599" s="5"/>
      <c r="L2599" s="5"/>
      <c r="M2599" s="5"/>
      <c r="N2599" s="5"/>
      <c r="O2599" s="5"/>
      <c r="P2599" s="5"/>
    </row>
    <row r="2600" spans="2:16" s="8" customFormat="1" ht="12.75" hidden="1" customHeight="1">
      <c r="B2600" s="37"/>
      <c r="C2600" s="37"/>
      <c r="D2600" s="38"/>
      <c r="E2600" s="38"/>
      <c r="F2600" s="39"/>
      <c r="K2600" s="5"/>
      <c r="L2600" s="5"/>
      <c r="M2600" s="5"/>
      <c r="N2600" s="5"/>
      <c r="O2600" s="5"/>
      <c r="P2600" s="5"/>
    </row>
    <row r="2601" spans="2:16" s="8" customFormat="1" ht="12.75" hidden="1" customHeight="1">
      <c r="B2601" s="37"/>
      <c r="C2601" s="37"/>
      <c r="D2601" s="38"/>
      <c r="E2601" s="38"/>
      <c r="F2601" s="39"/>
      <c r="K2601" s="5"/>
      <c r="L2601" s="5"/>
      <c r="M2601" s="5"/>
      <c r="N2601" s="5"/>
      <c r="O2601" s="5"/>
      <c r="P2601" s="5"/>
    </row>
    <row r="2602" spans="2:16" s="8" customFormat="1" ht="12.75" hidden="1" customHeight="1">
      <c r="B2602" s="37"/>
      <c r="C2602" s="37"/>
      <c r="D2602" s="38"/>
      <c r="E2602" s="38"/>
      <c r="F2602" s="39"/>
      <c r="K2602" s="5"/>
      <c r="L2602" s="5"/>
      <c r="M2602" s="5"/>
      <c r="N2602" s="5"/>
      <c r="O2602" s="5"/>
      <c r="P2602" s="5"/>
    </row>
    <row r="2603" spans="2:16" s="8" customFormat="1" ht="12.75" hidden="1" customHeight="1">
      <c r="B2603" s="37"/>
      <c r="C2603" s="37"/>
      <c r="D2603" s="38"/>
      <c r="E2603" s="38"/>
      <c r="F2603" s="39"/>
      <c r="K2603" s="5"/>
      <c r="L2603" s="5"/>
      <c r="M2603" s="5"/>
      <c r="N2603" s="5"/>
      <c r="O2603" s="5"/>
      <c r="P2603" s="5"/>
    </row>
    <row r="2604" spans="2:16" s="8" customFormat="1" ht="12.75" hidden="1" customHeight="1">
      <c r="B2604" s="37"/>
      <c r="C2604" s="37"/>
      <c r="D2604" s="38"/>
      <c r="E2604" s="38"/>
      <c r="F2604" s="39"/>
      <c r="K2604" s="5"/>
      <c r="L2604" s="5"/>
      <c r="M2604" s="5"/>
      <c r="N2604" s="5"/>
      <c r="O2604" s="5"/>
      <c r="P2604" s="5"/>
    </row>
    <row r="2605" spans="2:16" s="8" customFormat="1" ht="12.75" hidden="1" customHeight="1">
      <c r="B2605" s="37"/>
      <c r="C2605" s="37"/>
      <c r="D2605" s="38"/>
      <c r="E2605" s="38"/>
      <c r="F2605" s="39"/>
      <c r="K2605" s="5"/>
      <c r="L2605" s="5"/>
      <c r="M2605" s="5"/>
      <c r="N2605" s="5"/>
      <c r="O2605" s="5"/>
      <c r="P2605" s="5"/>
    </row>
    <row r="2606" spans="2:16" s="8" customFormat="1" ht="12.75" hidden="1" customHeight="1">
      <c r="B2606" s="37"/>
      <c r="C2606" s="37"/>
      <c r="D2606" s="38"/>
      <c r="E2606" s="38"/>
      <c r="F2606" s="39"/>
      <c r="K2606" s="5"/>
      <c r="L2606" s="5"/>
      <c r="M2606" s="5"/>
      <c r="N2606" s="5"/>
      <c r="O2606" s="5"/>
      <c r="P2606" s="5"/>
    </row>
    <row r="2607" spans="2:16" s="8" customFormat="1" ht="12.75" hidden="1" customHeight="1">
      <c r="B2607" s="37"/>
      <c r="C2607" s="37"/>
      <c r="D2607" s="38"/>
      <c r="E2607" s="38"/>
      <c r="F2607" s="39"/>
      <c r="K2607" s="5"/>
      <c r="L2607" s="5"/>
      <c r="M2607" s="5"/>
      <c r="N2607" s="5"/>
      <c r="O2607" s="5"/>
      <c r="P2607" s="5"/>
    </row>
    <row r="2608" spans="2:16" s="8" customFormat="1" ht="12.75" hidden="1" customHeight="1">
      <c r="B2608" s="37"/>
      <c r="C2608" s="37"/>
      <c r="D2608" s="38"/>
      <c r="E2608" s="38"/>
      <c r="F2608" s="39"/>
      <c r="K2608" s="5"/>
      <c r="L2608" s="5"/>
      <c r="M2608" s="5"/>
      <c r="N2608" s="5"/>
      <c r="O2608" s="5"/>
      <c r="P2608" s="5"/>
    </row>
    <row r="2609" spans="2:16" s="8" customFormat="1" ht="12.75" hidden="1" customHeight="1">
      <c r="B2609" s="37"/>
      <c r="C2609" s="37"/>
      <c r="D2609" s="38"/>
      <c r="E2609" s="38"/>
      <c r="F2609" s="39"/>
      <c r="K2609" s="5"/>
      <c r="L2609" s="5"/>
      <c r="M2609" s="5"/>
      <c r="N2609" s="5"/>
      <c r="O2609" s="5"/>
      <c r="P2609" s="5"/>
    </row>
    <row r="2610" spans="2:16" s="8" customFormat="1" ht="12.75" hidden="1" customHeight="1">
      <c r="B2610" s="37"/>
      <c r="C2610" s="37"/>
      <c r="D2610" s="38"/>
      <c r="E2610" s="38"/>
      <c r="F2610" s="39"/>
      <c r="K2610" s="5"/>
      <c r="L2610" s="5"/>
      <c r="M2610" s="5"/>
      <c r="N2610" s="5"/>
      <c r="O2610" s="5"/>
      <c r="P2610" s="5"/>
    </row>
    <row r="2611" spans="2:16" s="8" customFormat="1" ht="12.75" hidden="1" customHeight="1">
      <c r="B2611" s="37"/>
      <c r="C2611" s="37"/>
      <c r="D2611" s="38"/>
      <c r="E2611" s="38"/>
      <c r="F2611" s="39"/>
      <c r="K2611" s="5"/>
      <c r="L2611" s="5"/>
      <c r="M2611" s="5"/>
      <c r="N2611" s="5"/>
      <c r="O2611" s="5"/>
      <c r="P2611" s="5"/>
    </row>
    <row r="2612" spans="2:16" s="8" customFormat="1" ht="12.75" hidden="1" customHeight="1">
      <c r="B2612" s="37"/>
      <c r="C2612" s="37"/>
      <c r="D2612" s="38"/>
      <c r="E2612" s="38"/>
      <c r="F2612" s="39"/>
      <c r="K2612" s="5"/>
      <c r="L2612" s="5"/>
      <c r="M2612" s="5"/>
      <c r="N2612" s="5"/>
      <c r="O2612" s="5"/>
      <c r="P2612" s="5"/>
    </row>
    <row r="2613" spans="2:16" s="8" customFormat="1" ht="12.75" hidden="1" customHeight="1">
      <c r="B2613" s="37"/>
      <c r="C2613" s="37"/>
      <c r="D2613" s="38"/>
      <c r="E2613" s="38"/>
      <c r="F2613" s="39"/>
      <c r="K2613" s="5"/>
      <c r="L2613" s="5"/>
      <c r="M2613" s="5"/>
      <c r="N2613" s="5"/>
      <c r="O2613" s="5"/>
      <c r="P2613" s="5"/>
    </row>
    <row r="2614" spans="2:16" s="8" customFormat="1" ht="12.75" hidden="1" customHeight="1">
      <c r="B2614" s="37"/>
      <c r="C2614" s="37"/>
      <c r="D2614" s="38"/>
      <c r="E2614" s="38"/>
      <c r="F2614" s="39"/>
      <c r="K2614" s="5"/>
      <c r="L2614" s="5"/>
      <c r="M2614" s="5"/>
      <c r="N2614" s="5"/>
      <c r="O2614" s="5"/>
      <c r="P2614" s="5"/>
    </row>
    <row r="2615" spans="2:16" s="8" customFormat="1" ht="12.75" hidden="1" customHeight="1">
      <c r="B2615" s="37"/>
      <c r="C2615" s="37"/>
      <c r="D2615" s="38"/>
      <c r="E2615" s="38"/>
      <c r="F2615" s="39"/>
      <c r="K2615" s="5"/>
      <c r="L2615" s="5"/>
      <c r="M2615" s="5"/>
      <c r="N2615" s="5"/>
      <c r="O2615" s="5"/>
      <c r="P2615" s="5"/>
    </row>
    <row r="2616" spans="2:16" s="8" customFormat="1" ht="12.75" hidden="1" customHeight="1">
      <c r="B2616" s="37"/>
      <c r="C2616" s="37"/>
      <c r="D2616" s="38"/>
      <c r="E2616" s="38"/>
      <c r="F2616" s="39"/>
      <c r="K2616" s="5"/>
      <c r="L2616" s="5"/>
      <c r="M2616" s="5"/>
      <c r="N2616" s="5"/>
      <c r="O2616" s="5"/>
      <c r="P2616" s="5"/>
    </row>
    <row r="2617" spans="2:16" s="8" customFormat="1" ht="12.75" hidden="1" customHeight="1">
      <c r="B2617" s="37"/>
      <c r="C2617" s="37"/>
      <c r="D2617" s="38"/>
      <c r="E2617" s="38"/>
      <c r="F2617" s="39"/>
      <c r="K2617" s="5"/>
      <c r="L2617" s="5"/>
      <c r="M2617" s="5"/>
      <c r="N2617" s="5"/>
      <c r="O2617" s="5"/>
      <c r="P2617" s="5"/>
    </row>
    <row r="2618" spans="2:16" s="8" customFormat="1" ht="12.75" hidden="1" customHeight="1">
      <c r="B2618" s="37"/>
      <c r="C2618" s="37"/>
      <c r="D2618" s="38"/>
      <c r="E2618" s="38"/>
      <c r="F2618" s="39"/>
      <c r="K2618" s="5"/>
      <c r="L2618" s="5"/>
      <c r="M2618" s="5"/>
      <c r="N2618" s="5"/>
      <c r="O2618" s="5"/>
      <c r="P2618" s="5"/>
    </row>
    <row r="2619" spans="2:16" s="8" customFormat="1" ht="12.75" hidden="1" customHeight="1">
      <c r="B2619" s="37"/>
      <c r="C2619" s="37"/>
      <c r="D2619" s="38"/>
      <c r="E2619" s="38"/>
      <c r="F2619" s="39"/>
      <c r="K2619" s="5"/>
      <c r="L2619" s="5"/>
      <c r="M2619" s="5"/>
      <c r="N2619" s="5"/>
      <c r="O2619" s="5"/>
      <c r="P2619" s="5"/>
    </row>
    <row r="2620" spans="2:16" s="8" customFormat="1" ht="12.75" hidden="1" customHeight="1">
      <c r="B2620" s="37"/>
      <c r="C2620" s="37"/>
      <c r="D2620" s="38"/>
      <c r="E2620" s="38"/>
      <c r="F2620" s="39"/>
      <c r="K2620" s="5"/>
      <c r="L2620" s="5"/>
      <c r="M2620" s="5"/>
      <c r="N2620" s="5"/>
      <c r="O2620" s="5"/>
      <c r="P2620" s="5"/>
    </row>
    <row r="2621" spans="2:16" s="8" customFormat="1" ht="12.75" hidden="1" customHeight="1">
      <c r="B2621" s="37"/>
      <c r="C2621" s="37"/>
      <c r="D2621" s="38"/>
      <c r="E2621" s="38"/>
      <c r="F2621" s="39"/>
      <c r="K2621" s="5"/>
      <c r="L2621" s="5"/>
      <c r="M2621" s="5"/>
      <c r="N2621" s="5"/>
      <c r="O2621" s="5"/>
      <c r="P2621" s="5"/>
    </row>
    <row r="2622" spans="2:16" s="8" customFormat="1" ht="12.75" hidden="1" customHeight="1">
      <c r="B2622" s="37"/>
      <c r="C2622" s="37"/>
      <c r="D2622" s="38"/>
      <c r="E2622" s="38"/>
      <c r="F2622" s="39"/>
      <c r="K2622" s="5"/>
      <c r="L2622" s="5"/>
      <c r="M2622" s="5"/>
      <c r="N2622" s="5"/>
      <c r="O2622" s="5"/>
      <c r="P2622" s="5"/>
    </row>
    <row r="2623" spans="2:16" s="8" customFormat="1" ht="12.75" hidden="1" customHeight="1">
      <c r="B2623" s="37"/>
      <c r="C2623" s="37"/>
      <c r="D2623" s="38"/>
      <c r="E2623" s="38"/>
      <c r="F2623" s="39"/>
      <c r="K2623" s="5"/>
      <c r="L2623" s="5"/>
      <c r="M2623" s="5"/>
      <c r="N2623" s="5"/>
      <c r="O2623" s="5"/>
      <c r="P2623" s="5"/>
    </row>
    <row r="2624" spans="2:16" s="8" customFormat="1" ht="12.75" hidden="1" customHeight="1">
      <c r="B2624" s="37"/>
      <c r="C2624" s="37"/>
      <c r="D2624" s="38"/>
      <c r="E2624" s="38"/>
      <c r="F2624" s="39"/>
      <c r="K2624" s="5"/>
      <c r="L2624" s="5"/>
      <c r="M2624" s="5"/>
      <c r="N2624" s="5"/>
      <c r="O2624" s="5"/>
      <c r="P2624" s="5"/>
    </row>
    <row r="2625" spans="2:16" s="8" customFormat="1" ht="12.75" hidden="1" customHeight="1">
      <c r="B2625" s="37"/>
      <c r="C2625" s="37"/>
      <c r="D2625" s="38"/>
      <c r="E2625" s="38"/>
      <c r="F2625" s="39"/>
      <c r="K2625" s="5"/>
      <c r="L2625" s="5"/>
      <c r="M2625" s="5"/>
      <c r="N2625" s="5"/>
      <c r="O2625" s="5"/>
      <c r="P2625" s="5"/>
    </row>
    <row r="2626" spans="2:16" s="8" customFormat="1" ht="12.75" hidden="1" customHeight="1">
      <c r="B2626" s="37"/>
      <c r="C2626" s="37"/>
      <c r="D2626" s="38"/>
      <c r="E2626" s="38"/>
      <c r="F2626" s="39"/>
      <c r="K2626" s="5"/>
      <c r="L2626" s="5"/>
      <c r="M2626" s="5"/>
      <c r="N2626" s="5"/>
      <c r="O2626" s="5"/>
      <c r="P2626" s="5"/>
    </row>
    <row r="2627" spans="2:16" s="8" customFormat="1" ht="12.75" hidden="1" customHeight="1">
      <c r="B2627" s="37"/>
      <c r="C2627" s="37"/>
      <c r="D2627" s="38"/>
      <c r="E2627" s="38"/>
      <c r="F2627" s="39"/>
      <c r="K2627" s="5"/>
      <c r="L2627" s="5"/>
      <c r="M2627" s="5"/>
      <c r="N2627" s="5"/>
      <c r="O2627" s="5"/>
      <c r="P2627" s="5"/>
    </row>
    <row r="2628" spans="2:16" s="8" customFormat="1" ht="12.75" hidden="1" customHeight="1">
      <c r="B2628" s="37"/>
      <c r="C2628" s="37"/>
      <c r="D2628" s="38"/>
      <c r="E2628" s="38"/>
      <c r="F2628" s="39"/>
      <c r="K2628" s="5"/>
      <c r="L2628" s="5"/>
      <c r="M2628" s="5"/>
      <c r="N2628" s="5"/>
      <c r="O2628" s="5"/>
      <c r="P2628" s="5"/>
    </row>
    <row r="2629" spans="2:16" s="8" customFormat="1" ht="12.75" hidden="1" customHeight="1">
      <c r="B2629" s="37"/>
      <c r="C2629" s="37"/>
      <c r="D2629" s="38"/>
      <c r="E2629" s="38"/>
      <c r="F2629" s="39"/>
      <c r="K2629" s="5"/>
      <c r="L2629" s="5"/>
      <c r="M2629" s="5"/>
      <c r="N2629" s="5"/>
      <c r="O2629" s="5"/>
      <c r="P2629" s="5"/>
    </row>
    <row r="2630" spans="2:16" s="8" customFormat="1" ht="12.75" hidden="1" customHeight="1">
      <c r="B2630" s="37"/>
      <c r="C2630" s="37"/>
      <c r="D2630" s="38"/>
      <c r="E2630" s="38"/>
      <c r="F2630" s="39"/>
      <c r="K2630" s="5"/>
      <c r="L2630" s="5"/>
      <c r="M2630" s="5"/>
      <c r="N2630" s="5"/>
      <c r="O2630" s="5"/>
      <c r="P2630" s="5"/>
    </row>
    <row r="2631" spans="2:16" s="8" customFormat="1" ht="12.75" hidden="1" customHeight="1">
      <c r="B2631" s="37"/>
      <c r="C2631" s="37"/>
      <c r="D2631" s="38"/>
      <c r="E2631" s="38"/>
      <c r="F2631" s="39"/>
      <c r="K2631" s="5"/>
      <c r="L2631" s="5"/>
      <c r="M2631" s="5"/>
      <c r="N2631" s="5"/>
      <c r="O2631" s="5"/>
      <c r="P2631" s="5"/>
    </row>
    <row r="2632" spans="2:16" s="8" customFormat="1" ht="12.75" hidden="1" customHeight="1">
      <c r="B2632" s="37"/>
      <c r="C2632" s="37"/>
      <c r="D2632" s="38"/>
      <c r="E2632" s="38"/>
      <c r="F2632" s="39"/>
      <c r="K2632" s="5"/>
      <c r="L2632" s="5"/>
      <c r="M2632" s="5"/>
      <c r="N2632" s="5"/>
      <c r="O2632" s="5"/>
      <c r="P2632" s="5"/>
    </row>
    <row r="2633" spans="2:16" s="8" customFormat="1" ht="12.75" hidden="1" customHeight="1">
      <c r="B2633" s="37"/>
      <c r="C2633" s="37"/>
      <c r="D2633" s="38"/>
      <c r="E2633" s="38"/>
      <c r="F2633" s="39"/>
      <c r="K2633" s="5"/>
      <c r="L2633" s="5"/>
      <c r="M2633" s="5"/>
      <c r="N2633" s="5"/>
      <c r="O2633" s="5"/>
      <c r="P2633" s="5"/>
    </row>
    <row r="2634" spans="2:16" s="8" customFormat="1" ht="12.75" hidden="1" customHeight="1">
      <c r="B2634" s="37"/>
      <c r="C2634" s="37"/>
      <c r="D2634" s="38"/>
      <c r="E2634" s="38"/>
      <c r="F2634" s="39"/>
      <c r="K2634" s="5"/>
      <c r="L2634" s="5"/>
      <c r="M2634" s="5"/>
      <c r="N2634" s="5"/>
      <c r="O2634" s="5"/>
      <c r="P2634" s="5"/>
    </row>
    <row r="2635" spans="2:16" s="8" customFormat="1" ht="12.75" hidden="1" customHeight="1">
      <c r="B2635" s="37"/>
      <c r="C2635" s="37"/>
      <c r="D2635" s="38"/>
      <c r="E2635" s="38"/>
      <c r="F2635" s="39"/>
      <c r="K2635" s="5"/>
      <c r="L2635" s="5"/>
      <c r="M2635" s="5"/>
      <c r="N2635" s="5"/>
      <c r="O2635" s="5"/>
      <c r="P2635" s="5"/>
    </row>
    <row r="2636" spans="2:16" s="8" customFormat="1" ht="12.75" hidden="1" customHeight="1">
      <c r="B2636" s="37"/>
      <c r="C2636" s="37"/>
      <c r="D2636" s="38"/>
      <c r="E2636" s="38"/>
      <c r="F2636" s="39"/>
      <c r="K2636" s="5"/>
      <c r="L2636" s="5"/>
      <c r="M2636" s="5"/>
      <c r="N2636" s="5"/>
      <c r="O2636" s="5"/>
      <c r="P2636" s="5"/>
    </row>
    <row r="2637" spans="2:16" s="8" customFormat="1" ht="12.75" hidden="1" customHeight="1">
      <c r="B2637" s="37"/>
      <c r="C2637" s="37"/>
      <c r="D2637" s="38"/>
      <c r="E2637" s="38"/>
      <c r="F2637" s="39"/>
      <c r="K2637" s="5"/>
      <c r="L2637" s="5"/>
      <c r="M2637" s="5"/>
      <c r="N2637" s="5"/>
      <c r="O2637" s="5"/>
      <c r="P2637" s="5"/>
    </row>
    <row r="2638" spans="2:16" s="8" customFormat="1" ht="12.75" hidden="1" customHeight="1">
      <c r="B2638" s="37"/>
      <c r="C2638" s="37"/>
      <c r="D2638" s="38"/>
      <c r="E2638" s="38"/>
      <c r="F2638" s="39"/>
      <c r="K2638" s="5"/>
      <c r="L2638" s="5"/>
      <c r="M2638" s="5"/>
      <c r="N2638" s="5"/>
      <c r="O2638" s="5"/>
      <c r="P2638" s="5"/>
    </row>
    <row r="2639" spans="2:16" s="8" customFormat="1" ht="12.75" hidden="1" customHeight="1">
      <c r="B2639" s="37"/>
      <c r="C2639" s="37"/>
      <c r="D2639" s="38"/>
      <c r="E2639" s="38"/>
      <c r="F2639" s="39"/>
      <c r="K2639" s="5"/>
      <c r="L2639" s="5"/>
      <c r="M2639" s="5"/>
      <c r="N2639" s="5"/>
      <c r="O2639" s="5"/>
      <c r="P2639" s="5"/>
    </row>
    <row r="2640" spans="2:16" s="8" customFormat="1" ht="12.75" hidden="1" customHeight="1">
      <c r="B2640" s="37"/>
      <c r="C2640" s="37"/>
      <c r="D2640" s="38"/>
      <c r="E2640" s="38"/>
      <c r="F2640" s="39"/>
      <c r="K2640" s="5"/>
      <c r="L2640" s="5"/>
      <c r="M2640" s="5"/>
      <c r="N2640" s="5"/>
      <c r="O2640" s="5"/>
      <c r="P2640" s="5"/>
    </row>
    <row r="2641" spans="2:16" s="8" customFormat="1" ht="12.75" hidden="1" customHeight="1">
      <c r="B2641" s="37"/>
      <c r="C2641" s="37"/>
      <c r="D2641" s="38"/>
      <c r="E2641" s="38"/>
      <c r="F2641" s="39"/>
      <c r="K2641" s="5"/>
      <c r="L2641" s="5"/>
      <c r="M2641" s="5"/>
      <c r="N2641" s="5"/>
      <c r="O2641" s="5"/>
      <c r="P2641" s="5"/>
    </row>
    <row r="2642" spans="2:16" s="8" customFormat="1" ht="12.75" hidden="1" customHeight="1">
      <c r="B2642" s="37"/>
      <c r="C2642" s="37"/>
      <c r="D2642" s="38"/>
      <c r="E2642" s="38"/>
      <c r="F2642" s="39"/>
      <c r="K2642" s="5"/>
      <c r="L2642" s="5"/>
      <c r="M2642" s="5"/>
      <c r="N2642" s="5"/>
      <c r="O2642" s="5"/>
      <c r="P2642" s="5"/>
    </row>
    <row r="2643" spans="2:16" s="8" customFormat="1" ht="12.75" hidden="1" customHeight="1">
      <c r="B2643" s="37"/>
      <c r="C2643" s="37"/>
      <c r="D2643" s="38"/>
      <c r="E2643" s="38"/>
      <c r="F2643" s="39"/>
      <c r="K2643" s="5"/>
      <c r="L2643" s="5"/>
      <c r="M2643" s="5"/>
      <c r="N2643" s="5"/>
      <c r="O2643" s="5"/>
      <c r="P2643" s="5"/>
    </row>
    <row r="2644" spans="2:16" s="8" customFormat="1" ht="12.75" hidden="1" customHeight="1">
      <c r="B2644" s="37"/>
      <c r="C2644" s="37"/>
      <c r="D2644" s="38"/>
      <c r="E2644" s="38"/>
      <c r="F2644" s="39"/>
      <c r="K2644" s="5"/>
      <c r="L2644" s="5"/>
      <c r="M2644" s="5"/>
      <c r="N2644" s="5"/>
      <c r="O2644" s="5"/>
      <c r="P2644" s="5"/>
    </row>
    <row r="2645" spans="2:16" s="8" customFormat="1" ht="12.75" hidden="1" customHeight="1">
      <c r="B2645" s="37"/>
      <c r="C2645" s="37"/>
      <c r="D2645" s="38"/>
      <c r="E2645" s="38"/>
      <c r="F2645" s="39"/>
      <c r="K2645" s="5"/>
      <c r="L2645" s="5"/>
      <c r="M2645" s="5"/>
      <c r="N2645" s="5"/>
      <c r="O2645" s="5"/>
      <c r="P2645" s="5"/>
    </row>
    <row r="2646" spans="2:16" s="8" customFormat="1" ht="12.75" hidden="1" customHeight="1">
      <c r="B2646" s="37"/>
      <c r="C2646" s="37"/>
      <c r="D2646" s="38"/>
      <c r="E2646" s="38"/>
      <c r="F2646" s="39"/>
      <c r="K2646" s="5"/>
      <c r="L2646" s="5"/>
      <c r="M2646" s="5"/>
      <c r="N2646" s="5"/>
      <c r="O2646" s="5"/>
      <c r="P2646" s="5"/>
    </row>
    <row r="2647" spans="2:16" s="8" customFormat="1" ht="12.75" hidden="1" customHeight="1">
      <c r="B2647" s="37"/>
      <c r="C2647" s="37"/>
      <c r="D2647" s="38"/>
      <c r="E2647" s="38"/>
      <c r="F2647" s="39"/>
      <c r="K2647" s="5"/>
      <c r="L2647" s="5"/>
      <c r="M2647" s="5"/>
      <c r="N2647" s="5"/>
      <c r="O2647" s="5"/>
      <c r="P2647" s="5"/>
    </row>
    <row r="2648" spans="2:16" s="8" customFormat="1" ht="12.75" hidden="1" customHeight="1">
      <c r="B2648" s="37"/>
      <c r="C2648" s="37"/>
      <c r="D2648" s="38"/>
      <c r="E2648" s="38"/>
      <c r="F2648" s="39"/>
      <c r="K2648" s="5"/>
      <c r="L2648" s="5"/>
      <c r="M2648" s="5"/>
      <c r="N2648" s="5"/>
      <c r="O2648" s="5"/>
      <c r="P2648" s="5"/>
    </row>
    <row r="2649" spans="2:16" s="8" customFormat="1" ht="12.75" hidden="1" customHeight="1">
      <c r="B2649" s="37"/>
      <c r="C2649" s="37"/>
      <c r="D2649" s="38"/>
      <c r="E2649" s="38"/>
      <c r="F2649" s="39"/>
      <c r="K2649" s="5"/>
      <c r="L2649" s="5"/>
      <c r="M2649" s="5"/>
      <c r="N2649" s="5"/>
      <c r="O2649" s="5"/>
      <c r="P2649" s="5"/>
    </row>
    <row r="2650" spans="2:16" s="8" customFormat="1" ht="12.75" hidden="1" customHeight="1">
      <c r="B2650" s="37"/>
      <c r="C2650" s="37"/>
      <c r="D2650" s="38"/>
      <c r="E2650" s="38"/>
      <c r="F2650" s="39"/>
      <c r="K2650" s="5"/>
      <c r="L2650" s="5"/>
      <c r="M2650" s="5"/>
      <c r="N2650" s="5"/>
      <c r="O2650" s="5"/>
      <c r="P2650" s="5"/>
    </row>
    <row r="2651" spans="2:16" s="8" customFormat="1" ht="12.75" hidden="1" customHeight="1">
      <c r="B2651" s="37"/>
      <c r="C2651" s="37"/>
      <c r="D2651" s="38"/>
      <c r="E2651" s="38"/>
      <c r="F2651" s="39"/>
      <c r="K2651" s="5"/>
      <c r="L2651" s="5"/>
      <c r="M2651" s="5"/>
      <c r="N2651" s="5"/>
      <c r="O2651" s="5"/>
      <c r="P2651" s="5"/>
    </row>
    <row r="2652" spans="2:16" s="8" customFormat="1" ht="12.75" hidden="1" customHeight="1">
      <c r="B2652" s="37"/>
      <c r="C2652" s="37"/>
      <c r="D2652" s="38"/>
      <c r="E2652" s="38"/>
      <c r="F2652" s="39"/>
      <c r="K2652" s="5"/>
      <c r="L2652" s="5"/>
      <c r="M2652" s="5"/>
      <c r="N2652" s="5"/>
      <c r="O2652" s="5"/>
      <c r="P2652" s="5"/>
    </row>
    <row r="2653" spans="2:16" s="8" customFormat="1" ht="12.75" hidden="1" customHeight="1">
      <c r="B2653" s="37"/>
      <c r="C2653" s="37"/>
      <c r="D2653" s="38"/>
      <c r="E2653" s="38"/>
      <c r="F2653" s="39"/>
      <c r="K2653" s="5"/>
      <c r="L2653" s="5"/>
      <c r="M2653" s="5"/>
      <c r="N2653" s="5"/>
      <c r="O2653" s="5"/>
      <c r="P2653" s="5"/>
    </row>
    <row r="2654" spans="2:16" s="8" customFormat="1" ht="12.75" hidden="1" customHeight="1">
      <c r="B2654" s="37"/>
      <c r="C2654" s="37"/>
      <c r="D2654" s="38"/>
      <c r="E2654" s="38"/>
      <c r="F2654" s="39"/>
      <c r="K2654" s="5"/>
      <c r="L2654" s="5"/>
      <c r="M2654" s="5"/>
      <c r="N2654" s="5"/>
      <c r="O2654" s="5"/>
      <c r="P2654" s="5"/>
    </row>
    <row r="2655" spans="2:16" s="8" customFormat="1" ht="12.75" hidden="1" customHeight="1">
      <c r="B2655" s="37"/>
      <c r="C2655" s="37"/>
      <c r="D2655" s="38"/>
      <c r="E2655" s="38"/>
      <c r="F2655" s="39"/>
      <c r="K2655" s="5"/>
      <c r="L2655" s="5"/>
      <c r="M2655" s="5"/>
      <c r="N2655" s="5"/>
      <c r="O2655" s="5"/>
      <c r="P2655" s="5"/>
    </row>
    <row r="2656" spans="2:16" s="8" customFormat="1" ht="12.75" hidden="1" customHeight="1">
      <c r="B2656" s="37"/>
      <c r="C2656" s="37"/>
      <c r="D2656" s="38"/>
      <c r="E2656" s="38"/>
      <c r="F2656" s="39"/>
      <c r="K2656" s="5"/>
      <c r="L2656" s="5"/>
      <c r="M2656" s="5"/>
      <c r="N2656" s="5"/>
      <c r="O2656" s="5"/>
      <c r="P2656" s="5"/>
    </row>
    <row r="2657" spans="2:16" s="8" customFormat="1" ht="12.75" hidden="1" customHeight="1">
      <c r="B2657" s="37"/>
      <c r="C2657" s="37"/>
      <c r="D2657" s="38"/>
      <c r="E2657" s="38"/>
      <c r="F2657" s="39"/>
      <c r="K2657" s="5"/>
      <c r="L2657" s="5"/>
      <c r="M2657" s="5"/>
      <c r="N2657" s="5"/>
      <c r="O2657" s="5"/>
      <c r="P2657" s="5"/>
    </row>
    <row r="2658" spans="2:16" s="8" customFormat="1" ht="12.75" hidden="1" customHeight="1">
      <c r="B2658" s="37"/>
      <c r="C2658" s="37"/>
      <c r="D2658" s="38"/>
      <c r="E2658" s="38"/>
      <c r="F2658" s="39"/>
      <c r="K2658" s="5"/>
      <c r="L2658" s="5"/>
      <c r="M2658" s="5"/>
      <c r="N2658" s="5"/>
      <c r="O2658" s="5"/>
      <c r="P2658" s="5"/>
    </row>
    <row r="2659" spans="2:16" s="8" customFormat="1" ht="12.75" hidden="1" customHeight="1">
      <c r="B2659" s="37"/>
      <c r="C2659" s="37"/>
      <c r="D2659" s="38"/>
      <c r="E2659" s="38"/>
      <c r="F2659" s="39"/>
      <c r="K2659" s="5"/>
      <c r="L2659" s="5"/>
      <c r="M2659" s="5"/>
      <c r="N2659" s="5"/>
      <c r="O2659" s="5"/>
      <c r="P2659" s="5"/>
    </row>
    <row r="2660" spans="2:16" s="8" customFormat="1" ht="12.75" hidden="1" customHeight="1">
      <c r="B2660" s="37"/>
      <c r="C2660" s="37"/>
      <c r="D2660" s="38"/>
      <c r="E2660" s="38"/>
      <c r="F2660" s="39"/>
      <c r="K2660" s="5"/>
      <c r="L2660" s="5"/>
      <c r="M2660" s="5"/>
      <c r="N2660" s="5"/>
      <c r="O2660" s="5"/>
      <c r="P2660" s="5"/>
    </row>
    <row r="2661" spans="2:16" s="8" customFormat="1" ht="12.75" hidden="1" customHeight="1">
      <c r="B2661" s="37"/>
      <c r="C2661" s="37"/>
      <c r="D2661" s="38"/>
      <c r="E2661" s="38"/>
      <c r="F2661" s="39"/>
      <c r="K2661" s="5"/>
      <c r="L2661" s="5"/>
      <c r="M2661" s="5"/>
      <c r="N2661" s="5"/>
      <c r="O2661" s="5"/>
      <c r="P2661" s="5"/>
    </row>
    <row r="2662" spans="2:16" s="8" customFormat="1" ht="12.75" hidden="1" customHeight="1">
      <c r="B2662" s="37"/>
      <c r="C2662" s="37"/>
      <c r="D2662" s="38"/>
      <c r="E2662" s="38"/>
      <c r="F2662" s="39"/>
      <c r="K2662" s="5"/>
      <c r="L2662" s="5"/>
      <c r="M2662" s="5"/>
      <c r="N2662" s="5"/>
      <c r="O2662" s="5"/>
      <c r="P2662" s="5"/>
    </row>
    <row r="2663" spans="2:16" s="8" customFormat="1" ht="12.75" hidden="1" customHeight="1">
      <c r="B2663" s="37"/>
      <c r="C2663" s="37"/>
      <c r="D2663" s="38"/>
      <c r="E2663" s="38"/>
      <c r="F2663" s="39"/>
      <c r="K2663" s="5"/>
      <c r="L2663" s="5"/>
      <c r="M2663" s="5"/>
      <c r="N2663" s="5"/>
      <c r="O2663" s="5"/>
      <c r="P2663" s="5"/>
    </row>
    <row r="2664" spans="2:16" s="8" customFormat="1" ht="12.75" hidden="1" customHeight="1">
      <c r="B2664" s="37"/>
      <c r="C2664" s="37"/>
      <c r="D2664" s="38"/>
      <c r="E2664" s="38"/>
      <c r="F2664" s="39"/>
      <c r="K2664" s="5"/>
      <c r="L2664" s="5"/>
      <c r="M2664" s="5"/>
      <c r="N2664" s="5"/>
      <c r="O2664" s="5"/>
      <c r="P2664" s="5"/>
    </row>
    <row r="2665" spans="2:16" s="8" customFormat="1" ht="12.75" hidden="1" customHeight="1">
      <c r="B2665" s="37"/>
      <c r="C2665" s="37"/>
      <c r="D2665" s="38"/>
      <c r="E2665" s="38"/>
      <c r="F2665" s="39"/>
      <c r="K2665" s="5"/>
      <c r="L2665" s="5"/>
      <c r="M2665" s="5"/>
      <c r="N2665" s="5"/>
      <c r="O2665" s="5"/>
      <c r="P2665" s="5"/>
    </row>
    <row r="2666" spans="2:16" s="8" customFormat="1" ht="12.75" hidden="1" customHeight="1">
      <c r="B2666" s="37"/>
      <c r="C2666" s="37"/>
      <c r="D2666" s="38"/>
      <c r="E2666" s="38"/>
      <c r="F2666" s="39"/>
      <c r="K2666" s="5"/>
      <c r="L2666" s="5"/>
      <c r="M2666" s="5"/>
      <c r="N2666" s="5"/>
      <c r="O2666" s="5"/>
      <c r="P2666" s="5"/>
    </row>
    <row r="2667" spans="2:16" s="8" customFormat="1" ht="12.75" hidden="1" customHeight="1">
      <c r="B2667" s="37"/>
      <c r="C2667" s="37"/>
      <c r="D2667" s="38"/>
      <c r="E2667" s="38"/>
      <c r="F2667" s="39"/>
      <c r="K2667" s="5"/>
      <c r="L2667" s="5"/>
      <c r="M2667" s="5"/>
      <c r="N2667" s="5"/>
      <c r="O2667" s="5"/>
      <c r="P2667" s="5"/>
    </row>
    <row r="2668" spans="2:16" s="8" customFormat="1" ht="12.75" hidden="1" customHeight="1">
      <c r="B2668" s="37"/>
      <c r="C2668" s="37"/>
      <c r="D2668" s="38"/>
      <c r="E2668" s="38"/>
      <c r="F2668" s="39"/>
      <c r="K2668" s="5"/>
      <c r="L2668" s="5"/>
      <c r="M2668" s="5"/>
      <c r="N2668" s="5"/>
      <c r="O2668" s="5"/>
      <c r="P2668" s="5"/>
    </row>
    <row r="2669" spans="2:16" s="8" customFormat="1" ht="12.75" hidden="1" customHeight="1">
      <c r="B2669" s="37"/>
      <c r="C2669" s="37"/>
      <c r="D2669" s="38"/>
      <c r="E2669" s="38"/>
      <c r="F2669" s="39"/>
      <c r="K2669" s="5"/>
      <c r="L2669" s="5"/>
      <c r="M2669" s="5"/>
      <c r="N2669" s="5"/>
      <c r="O2669" s="5"/>
      <c r="P2669" s="5"/>
    </row>
    <row r="2670" spans="2:16" s="8" customFormat="1" ht="12.75" hidden="1" customHeight="1">
      <c r="B2670" s="37"/>
      <c r="C2670" s="37"/>
      <c r="D2670" s="38"/>
      <c r="E2670" s="38"/>
      <c r="F2670" s="39"/>
      <c r="K2670" s="5"/>
      <c r="L2670" s="5"/>
      <c r="M2670" s="5"/>
      <c r="N2670" s="5"/>
      <c r="O2670" s="5"/>
      <c r="P2670" s="5"/>
    </row>
    <row r="2671" spans="2:16" s="8" customFormat="1" ht="12.75" hidden="1" customHeight="1">
      <c r="B2671" s="37"/>
      <c r="C2671" s="37"/>
      <c r="D2671" s="38"/>
      <c r="E2671" s="38"/>
      <c r="F2671" s="39"/>
      <c r="K2671" s="5"/>
      <c r="L2671" s="5"/>
      <c r="M2671" s="5"/>
      <c r="N2671" s="5"/>
      <c r="O2671" s="5"/>
      <c r="P2671" s="5"/>
    </row>
    <row r="2672" spans="2:16" s="8" customFormat="1" ht="12.75" hidden="1" customHeight="1">
      <c r="B2672" s="37"/>
      <c r="C2672" s="37"/>
      <c r="D2672" s="38"/>
      <c r="E2672" s="38"/>
      <c r="F2672" s="39"/>
      <c r="K2672" s="5"/>
      <c r="L2672" s="5"/>
      <c r="M2672" s="5"/>
      <c r="N2672" s="5"/>
      <c r="O2672" s="5"/>
      <c r="P2672" s="5"/>
    </row>
    <row r="2673" spans="2:16" s="8" customFormat="1" ht="12.75" hidden="1" customHeight="1">
      <c r="B2673" s="37"/>
      <c r="C2673" s="37"/>
      <c r="D2673" s="38"/>
      <c r="E2673" s="38"/>
      <c r="F2673" s="39"/>
      <c r="K2673" s="5"/>
      <c r="L2673" s="5"/>
      <c r="M2673" s="5"/>
      <c r="N2673" s="5"/>
      <c r="O2673" s="5"/>
      <c r="P2673" s="5"/>
    </row>
    <row r="2674" spans="2:16" s="8" customFormat="1" ht="12.75" hidden="1" customHeight="1">
      <c r="B2674" s="37"/>
      <c r="C2674" s="37"/>
      <c r="D2674" s="38"/>
      <c r="E2674" s="38"/>
      <c r="F2674" s="39"/>
      <c r="K2674" s="5"/>
      <c r="L2674" s="5"/>
      <c r="M2674" s="5"/>
      <c r="N2674" s="5"/>
      <c r="O2674" s="5"/>
      <c r="P2674" s="5"/>
    </row>
    <row r="2675" spans="2:16" s="8" customFormat="1" ht="12.75" hidden="1" customHeight="1">
      <c r="B2675" s="37"/>
      <c r="C2675" s="37"/>
      <c r="D2675" s="38"/>
      <c r="E2675" s="38"/>
      <c r="F2675" s="39"/>
      <c r="K2675" s="5"/>
      <c r="L2675" s="5"/>
      <c r="M2675" s="5"/>
      <c r="N2675" s="5"/>
      <c r="O2675" s="5"/>
      <c r="P2675" s="5"/>
    </row>
    <row r="2676" spans="2:16" s="8" customFormat="1" ht="12.75" hidden="1" customHeight="1">
      <c r="B2676" s="37"/>
      <c r="C2676" s="37"/>
      <c r="D2676" s="38"/>
      <c r="E2676" s="38"/>
      <c r="F2676" s="39"/>
      <c r="K2676" s="5"/>
      <c r="L2676" s="5"/>
      <c r="M2676" s="5"/>
      <c r="N2676" s="5"/>
      <c r="O2676" s="5"/>
      <c r="P2676" s="5"/>
    </row>
    <row r="2677" spans="2:16" s="8" customFormat="1" ht="12.75" hidden="1" customHeight="1">
      <c r="B2677" s="37"/>
      <c r="C2677" s="37"/>
      <c r="D2677" s="38"/>
      <c r="E2677" s="38"/>
      <c r="F2677" s="39"/>
      <c r="K2677" s="5"/>
      <c r="L2677" s="5"/>
      <c r="M2677" s="5"/>
      <c r="N2677" s="5"/>
      <c r="O2677" s="5"/>
      <c r="P2677" s="5"/>
    </row>
    <row r="2678" spans="2:16" s="8" customFormat="1" ht="12.75" hidden="1" customHeight="1">
      <c r="B2678" s="37"/>
      <c r="C2678" s="37"/>
      <c r="D2678" s="38"/>
      <c r="E2678" s="38"/>
      <c r="F2678" s="39"/>
      <c r="K2678" s="5"/>
      <c r="L2678" s="5"/>
      <c r="M2678" s="5"/>
      <c r="N2678" s="5"/>
      <c r="O2678" s="5"/>
      <c r="P2678" s="5"/>
    </row>
    <row r="2679" spans="2:16" s="8" customFormat="1" ht="12.75" hidden="1" customHeight="1">
      <c r="B2679" s="37"/>
      <c r="C2679" s="37"/>
      <c r="D2679" s="38"/>
      <c r="E2679" s="38"/>
      <c r="F2679" s="39"/>
      <c r="K2679" s="5"/>
      <c r="L2679" s="5"/>
      <c r="M2679" s="5"/>
      <c r="N2679" s="5"/>
      <c r="O2679" s="5"/>
      <c r="P2679" s="5"/>
    </row>
    <row r="2680" spans="2:16" s="8" customFormat="1" ht="12.75" hidden="1" customHeight="1">
      <c r="B2680" s="37"/>
      <c r="C2680" s="37"/>
      <c r="D2680" s="38"/>
      <c r="E2680" s="38"/>
      <c r="F2680" s="39"/>
      <c r="K2680" s="5"/>
      <c r="L2680" s="5"/>
      <c r="M2680" s="5"/>
      <c r="N2680" s="5"/>
      <c r="O2680" s="5"/>
      <c r="P2680" s="5"/>
    </row>
    <row r="2681" spans="2:16" s="8" customFormat="1" ht="12.75" hidden="1" customHeight="1">
      <c r="B2681" s="37"/>
      <c r="C2681" s="37"/>
      <c r="D2681" s="38"/>
      <c r="E2681" s="38"/>
      <c r="F2681" s="39"/>
      <c r="K2681" s="5"/>
      <c r="L2681" s="5"/>
      <c r="M2681" s="5"/>
      <c r="N2681" s="5"/>
      <c r="O2681" s="5"/>
      <c r="P2681" s="5"/>
    </row>
    <row r="2682" spans="2:16" s="8" customFormat="1" ht="12.75" hidden="1" customHeight="1">
      <c r="B2682" s="37"/>
      <c r="C2682" s="37"/>
      <c r="D2682" s="38"/>
      <c r="E2682" s="38"/>
      <c r="F2682" s="39"/>
      <c r="K2682" s="5"/>
      <c r="L2682" s="5"/>
      <c r="M2682" s="5"/>
      <c r="N2682" s="5"/>
      <c r="O2682" s="5"/>
      <c r="P2682" s="5"/>
    </row>
    <row r="2683" spans="2:16" s="8" customFormat="1" ht="12.75" hidden="1" customHeight="1">
      <c r="B2683" s="37"/>
      <c r="C2683" s="37"/>
      <c r="D2683" s="38"/>
      <c r="E2683" s="38"/>
      <c r="F2683" s="39"/>
      <c r="K2683" s="5"/>
      <c r="L2683" s="5"/>
      <c r="M2683" s="5"/>
      <c r="N2683" s="5"/>
      <c r="O2683" s="5"/>
      <c r="P2683" s="5"/>
    </row>
    <row r="2684" spans="2:16" s="8" customFormat="1" ht="12.75" hidden="1" customHeight="1">
      <c r="B2684" s="37"/>
      <c r="C2684" s="37"/>
      <c r="D2684" s="38"/>
      <c r="E2684" s="38"/>
      <c r="F2684" s="39"/>
      <c r="K2684" s="5"/>
      <c r="L2684" s="5"/>
      <c r="M2684" s="5"/>
      <c r="N2684" s="5"/>
      <c r="O2684" s="5"/>
      <c r="P2684" s="5"/>
    </row>
    <row r="2685" spans="2:16" s="8" customFormat="1" ht="12.75" hidden="1" customHeight="1">
      <c r="B2685" s="37"/>
      <c r="C2685" s="37"/>
      <c r="D2685" s="38"/>
      <c r="E2685" s="38"/>
      <c r="F2685" s="39"/>
      <c r="K2685" s="5"/>
      <c r="L2685" s="5"/>
      <c r="M2685" s="5"/>
      <c r="N2685" s="5"/>
      <c r="O2685" s="5"/>
      <c r="P2685" s="5"/>
    </row>
    <row r="2686" spans="2:16" s="8" customFormat="1" ht="12.75" hidden="1" customHeight="1">
      <c r="B2686" s="37"/>
      <c r="C2686" s="37"/>
      <c r="D2686" s="38"/>
      <c r="E2686" s="38"/>
      <c r="F2686" s="39"/>
      <c r="K2686" s="5"/>
      <c r="L2686" s="5"/>
      <c r="M2686" s="5"/>
      <c r="N2686" s="5"/>
      <c r="O2686" s="5"/>
      <c r="P2686" s="5"/>
    </row>
    <row r="2687" spans="2:16" s="8" customFormat="1" ht="12.75" hidden="1" customHeight="1">
      <c r="B2687" s="37"/>
      <c r="C2687" s="37"/>
      <c r="D2687" s="38"/>
      <c r="E2687" s="38"/>
      <c r="F2687" s="39"/>
      <c r="K2687" s="5"/>
      <c r="L2687" s="5"/>
      <c r="M2687" s="5"/>
      <c r="N2687" s="5"/>
      <c r="O2687" s="5"/>
      <c r="P2687" s="5"/>
    </row>
    <row r="2688" spans="2:16" s="8" customFormat="1" ht="12.75" hidden="1" customHeight="1">
      <c r="B2688" s="37"/>
      <c r="C2688" s="37"/>
      <c r="D2688" s="38"/>
      <c r="E2688" s="38"/>
      <c r="F2688" s="39"/>
      <c r="K2688" s="5"/>
      <c r="L2688" s="5"/>
      <c r="M2688" s="5"/>
      <c r="N2688" s="5"/>
      <c r="O2688" s="5"/>
      <c r="P2688" s="5"/>
    </row>
    <row r="2689" spans="2:16" s="8" customFormat="1" ht="12.75" hidden="1" customHeight="1">
      <c r="B2689" s="37"/>
      <c r="C2689" s="37"/>
      <c r="D2689" s="38"/>
      <c r="E2689" s="38"/>
      <c r="F2689" s="39"/>
      <c r="K2689" s="5"/>
      <c r="L2689" s="5"/>
      <c r="M2689" s="5"/>
      <c r="N2689" s="5"/>
      <c r="O2689" s="5"/>
      <c r="P2689" s="5"/>
    </row>
    <row r="2690" spans="2:16" s="8" customFormat="1" ht="12.75" hidden="1" customHeight="1">
      <c r="B2690" s="37"/>
      <c r="C2690" s="37"/>
      <c r="D2690" s="38"/>
      <c r="E2690" s="38"/>
      <c r="F2690" s="39"/>
      <c r="K2690" s="5"/>
      <c r="L2690" s="5"/>
      <c r="M2690" s="5"/>
      <c r="N2690" s="5"/>
      <c r="O2690" s="5"/>
      <c r="P2690" s="5"/>
    </row>
    <row r="2691" spans="2:16" s="8" customFormat="1" ht="12.75" hidden="1" customHeight="1">
      <c r="B2691" s="37"/>
      <c r="C2691" s="37"/>
      <c r="D2691" s="38"/>
      <c r="E2691" s="38"/>
      <c r="F2691" s="39"/>
      <c r="K2691" s="5"/>
      <c r="L2691" s="5"/>
      <c r="M2691" s="5"/>
      <c r="N2691" s="5"/>
      <c r="O2691" s="5"/>
      <c r="P2691" s="5"/>
    </row>
    <row r="2692" spans="2:16" s="8" customFormat="1" ht="12.75" hidden="1" customHeight="1">
      <c r="B2692" s="37"/>
      <c r="C2692" s="37"/>
      <c r="D2692" s="38"/>
      <c r="E2692" s="38"/>
      <c r="F2692" s="39"/>
      <c r="K2692" s="5"/>
      <c r="L2692" s="5"/>
      <c r="M2692" s="5"/>
      <c r="N2692" s="5"/>
      <c r="O2692" s="5"/>
      <c r="P2692" s="5"/>
    </row>
    <row r="2693" spans="2:16" s="8" customFormat="1" ht="12.75" hidden="1" customHeight="1">
      <c r="B2693" s="37"/>
      <c r="C2693" s="37"/>
      <c r="D2693" s="38"/>
      <c r="E2693" s="38"/>
      <c r="F2693" s="39"/>
      <c r="K2693" s="5"/>
      <c r="L2693" s="5"/>
      <c r="M2693" s="5"/>
      <c r="N2693" s="5"/>
      <c r="O2693" s="5"/>
      <c r="P2693" s="5"/>
    </row>
    <row r="2694" spans="2:16" s="8" customFormat="1" ht="12.75" hidden="1" customHeight="1">
      <c r="B2694" s="37"/>
      <c r="C2694" s="37"/>
      <c r="D2694" s="38"/>
      <c r="E2694" s="38"/>
      <c r="F2694" s="39"/>
      <c r="K2694" s="5"/>
      <c r="L2694" s="5"/>
      <c r="M2694" s="5"/>
      <c r="N2694" s="5"/>
      <c r="O2694" s="5"/>
      <c r="P2694" s="5"/>
    </row>
    <row r="2695" spans="2:16" s="8" customFormat="1" ht="12.75" hidden="1" customHeight="1">
      <c r="B2695" s="37"/>
      <c r="C2695" s="37"/>
      <c r="D2695" s="38"/>
      <c r="E2695" s="38"/>
      <c r="F2695" s="39"/>
      <c r="K2695" s="5"/>
      <c r="L2695" s="5"/>
      <c r="M2695" s="5"/>
      <c r="N2695" s="5"/>
      <c r="O2695" s="5"/>
      <c r="P2695" s="5"/>
    </row>
    <row r="2696" spans="2:16" s="8" customFormat="1" ht="12.75" hidden="1" customHeight="1">
      <c r="B2696" s="37"/>
      <c r="C2696" s="37"/>
      <c r="D2696" s="38"/>
      <c r="E2696" s="38"/>
      <c r="F2696" s="39"/>
      <c r="K2696" s="5"/>
      <c r="L2696" s="5"/>
      <c r="M2696" s="5"/>
      <c r="N2696" s="5"/>
      <c r="O2696" s="5"/>
      <c r="P2696" s="5"/>
    </row>
    <row r="2697" spans="2:16" s="8" customFormat="1" ht="12.75" hidden="1" customHeight="1">
      <c r="B2697" s="37"/>
      <c r="C2697" s="37"/>
      <c r="D2697" s="38"/>
      <c r="E2697" s="38"/>
      <c r="F2697" s="39"/>
      <c r="K2697" s="5"/>
      <c r="L2697" s="5"/>
      <c r="M2697" s="5"/>
      <c r="N2697" s="5"/>
      <c r="O2697" s="5"/>
      <c r="P2697" s="5"/>
    </row>
    <row r="2698" spans="2:16" s="8" customFormat="1" ht="12.75" hidden="1" customHeight="1">
      <c r="B2698" s="37"/>
      <c r="C2698" s="37"/>
      <c r="D2698" s="38"/>
      <c r="E2698" s="38"/>
      <c r="F2698" s="39"/>
      <c r="K2698" s="5"/>
      <c r="L2698" s="5"/>
      <c r="M2698" s="5"/>
      <c r="N2698" s="5"/>
      <c r="O2698" s="5"/>
      <c r="P2698" s="5"/>
    </row>
    <row r="2699" spans="2:16" s="8" customFormat="1" ht="12.75" hidden="1" customHeight="1">
      <c r="B2699" s="37"/>
      <c r="C2699" s="37"/>
      <c r="D2699" s="38"/>
      <c r="E2699" s="38"/>
      <c r="F2699" s="39"/>
      <c r="K2699" s="5"/>
      <c r="L2699" s="5"/>
      <c r="M2699" s="5"/>
      <c r="N2699" s="5"/>
      <c r="O2699" s="5"/>
      <c r="P2699" s="5"/>
    </row>
    <row r="2700" spans="2:16" s="8" customFormat="1" ht="12.75" hidden="1" customHeight="1">
      <c r="B2700" s="37"/>
      <c r="C2700" s="37"/>
      <c r="D2700" s="38"/>
      <c r="E2700" s="38"/>
      <c r="F2700" s="39"/>
      <c r="K2700" s="5"/>
      <c r="L2700" s="5"/>
      <c r="M2700" s="5"/>
      <c r="N2700" s="5"/>
      <c r="O2700" s="5"/>
      <c r="P2700" s="5"/>
    </row>
    <row r="2701" spans="2:16" s="8" customFormat="1" ht="12.75" hidden="1" customHeight="1">
      <c r="B2701" s="37"/>
      <c r="C2701" s="37"/>
      <c r="D2701" s="38"/>
      <c r="E2701" s="38"/>
      <c r="F2701" s="39"/>
      <c r="K2701" s="5"/>
      <c r="L2701" s="5"/>
      <c r="M2701" s="5"/>
      <c r="N2701" s="5"/>
      <c r="O2701" s="5"/>
      <c r="P2701" s="5"/>
    </row>
    <row r="2702" spans="2:16" s="8" customFormat="1" ht="12.75" hidden="1" customHeight="1">
      <c r="B2702" s="37"/>
      <c r="C2702" s="37"/>
      <c r="D2702" s="38"/>
      <c r="E2702" s="38"/>
      <c r="F2702" s="39"/>
      <c r="K2702" s="5"/>
      <c r="L2702" s="5"/>
      <c r="M2702" s="5"/>
      <c r="N2702" s="5"/>
      <c r="O2702" s="5"/>
      <c r="P2702" s="5"/>
    </row>
    <row r="2703" spans="2:16" s="8" customFormat="1" ht="12.75" hidden="1" customHeight="1">
      <c r="B2703" s="37"/>
      <c r="C2703" s="37"/>
      <c r="D2703" s="38"/>
      <c r="E2703" s="38"/>
      <c r="F2703" s="39"/>
      <c r="K2703" s="5"/>
      <c r="L2703" s="5"/>
      <c r="M2703" s="5"/>
      <c r="N2703" s="5"/>
      <c r="O2703" s="5"/>
      <c r="P2703" s="5"/>
    </row>
    <row r="2704" spans="2:16" s="8" customFormat="1" ht="12.75" hidden="1" customHeight="1">
      <c r="B2704" s="37"/>
      <c r="C2704" s="37"/>
      <c r="D2704" s="38"/>
      <c r="E2704" s="38"/>
      <c r="F2704" s="39"/>
      <c r="K2704" s="5"/>
      <c r="L2704" s="5"/>
      <c r="M2704" s="5"/>
      <c r="N2704" s="5"/>
      <c r="O2704" s="5"/>
      <c r="P2704" s="5"/>
    </row>
    <row r="2705" spans="2:16" s="8" customFormat="1" ht="12.75" hidden="1" customHeight="1">
      <c r="B2705" s="37"/>
      <c r="C2705" s="37"/>
      <c r="D2705" s="38"/>
      <c r="E2705" s="38"/>
      <c r="F2705" s="39"/>
      <c r="K2705" s="5"/>
      <c r="L2705" s="5"/>
      <c r="M2705" s="5"/>
      <c r="N2705" s="5"/>
      <c r="O2705" s="5"/>
      <c r="P2705" s="5"/>
    </row>
    <row r="2706" spans="2:16" s="8" customFormat="1" ht="12.75" hidden="1" customHeight="1">
      <c r="B2706" s="37"/>
      <c r="C2706" s="37"/>
      <c r="D2706" s="38"/>
      <c r="E2706" s="38"/>
      <c r="F2706" s="39"/>
      <c r="K2706" s="5"/>
      <c r="L2706" s="5"/>
      <c r="M2706" s="5"/>
      <c r="N2706" s="5"/>
      <c r="O2706" s="5"/>
      <c r="P2706" s="5"/>
    </row>
    <row r="2707" spans="2:16" s="8" customFormat="1" ht="12.75" hidden="1" customHeight="1">
      <c r="B2707" s="37"/>
      <c r="C2707" s="37"/>
      <c r="D2707" s="38"/>
      <c r="E2707" s="38"/>
      <c r="F2707" s="39"/>
      <c r="K2707" s="5"/>
      <c r="L2707" s="5"/>
      <c r="M2707" s="5"/>
      <c r="N2707" s="5"/>
      <c r="O2707" s="5"/>
      <c r="P2707" s="5"/>
    </row>
    <row r="2708" spans="2:16" s="8" customFormat="1" ht="12.75" hidden="1" customHeight="1">
      <c r="B2708" s="37"/>
      <c r="C2708" s="37"/>
      <c r="D2708" s="38"/>
      <c r="E2708" s="38"/>
      <c r="F2708" s="39"/>
      <c r="K2708" s="5"/>
      <c r="L2708" s="5"/>
      <c r="M2708" s="5"/>
      <c r="N2708" s="5"/>
      <c r="O2708" s="5"/>
      <c r="P2708" s="5"/>
    </row>
    <row r="2709" spans="2:16" s="8" customFormat="1" ht="12.75" hidden="1" customHeight="1">
      <c r="B2709" s="37"/>
      <c r="C2709" s="37"/>
      <c r="D2709" s="38"/>
      <c r="E2709" s="38"/>
      <c r="F2709" s="39"/>
      <c r="K2709" s="5"/>
      <c r="L2709" s="5"/>
      <c r="M2709" s="5"/>
      <c r="N2709" s="5"/>
      <c r="O2709" s="5"/>
      <c r="P2709" s="5"/>
    </row>
    <row r="2710" spans="2:16" s="8" customFormat="1" ht="12.75" hidden="1" customHeight="1">
      <c r="B2710" s="37"/>
      <c r="C2710" s="37"/>
      <c r="D2710" s="38"/>
      <c r="E2710" s="38"/>
      <c r="F2710" s="39"/>
      <c r="K2710" s="5"/>
      <c r="L2710" s="5"/>
      <c r="M2710" s="5"/>
      <c r="N2710" s="5"/>
      <c r="O2710" s="5"/>
      <c r="P2710" s="5"/>
    </row>
    <row r="2711" spans="2:16" s="8" customFormat="1" ht="12.75" hidden="1" customHeight="1">
      <c r="B2711" s="37"/>
      <c r="C2711" s="37"/>
      <c r="D2711" s="38"/>
      <c r="E2711" s="38"/>
      <c r="F2711" s="39"/>
      <c r="K2711" s="5"/>
      <c r="L2711" s="5"/>
      <c r="M2711" s="5"/>
      <c r="N2711" s="5"/>
      <c r="O2711" s="5"/>
      <c r="P2711" s="5"/>
    </row>
    <row r="2712" spans="2:16" s="8" customFormat="1" ht="12.75" hidden="1" customHeight="1">
      <c r="B2712" s="37"/>
      <c r="C2712" s="37"/>
      <c r="D2712" s="38"/>
      <c r="E2712" s="38"/>
      <c r="F2712" s="39"/>
      <c r="K2712" s="5"/>
      <c r="L2712" s="5"/>
      <c r="M2712" s="5"/>
      <c r="N2712" s="5"/>
      <c r="O2712" s="5"/>
      <c r="P2712" s="5"/>
    </row>
    <row r="2713" spans="2:16" s="8" customFormat="1" ht="12.75" hidden="1" customHeight="1">
      <c r="B2713" s="37"/>
      <c r="C2713" s="37"/>
      <c r="D2713" s="38"/>
      <c r="E2713" s="38"/>
      <c r="F2713" s="39"/>
      <c r="K2713" s="5"/>
      <c r="L2713" s="5"/>
      <c r="M2713" s="5"/>
      <c r="N2713" s="5"/>
      <c r="O2713" s="5"/>
      <c r="P2713" s="5"/>
    </row>
    <row r="2714" spans="2:16" s="8" customFormat="1" ht="12.75" hidden="1" customHeight="1">
      <c r="B2714" s="37"/>
      <c r="C2714" s="37"/>
      <c r="D2714" s="38"/>
      <c r="E2714" s="38"/>
      <c r="F2714" s="39"/>
      <c r="K2714" s="5"/>
      <c r="L2714" s="5"/>
      <c r="M2714" s="5"/>
      <c r="N2714" s="5"/>
      <c r="O2714" s="5"/>
      <c r="P2714" s="5"/>
    </row>
    <row r="2715" spans="2:16" s="8" customFormat="1" ht="12.75" hidden="1" customHeight="1">
      <c r="B2715" s="37"/>
      <c r="C2715" s="37"/>
      <c r="D2715" s="38"/>
      <c r="E2715" s="38"/>
      <c r="F2715" s="39"/>
      <c r="K2715" s="5"/>
      <c r="L2715" s="5"/>
      <c r="M2715" s="5"/>
      <c r="N2715" s="5"/>
      <c r="O2715" s="5"/>
      <c r="P2715" s="5"/>
    </row>
    <row r="2716" spans="2:16" s="8" customFormat="1" ht="12.75" hidden="1" customHeight="1">
      <c r="B2716" s="37"/>
      <c r="C2716" s="37"/>
      <c r="D2716" s="38"/>
      <c r="E2716" s="38"/>
      <c r="F2716" s="39"/>
      <c r="K2716" s="5"/>
      <c r="L2716" s="5"/>
      <c r="M2716" s="5"/>
      <c r="N2716" s="5"/>
      <c r="O2716" s="5"/>
      <c r="P2716" s="5"/>
    </row>
    <row r="2717" spans="2:16" s="8" customFormat="1" ht="12.75" hidden="1" customHeight="1">
      <c r="B2717" s="37"/>
      <c r="C2717" s="37"/>
      <c r="D2717" s="38"/>
      <c r="E2717" s="38"/>
      <c r="F2717" s="39"/>
      <c r="K2717" s="5"/>
      <c r="L2717" s="5"/>
      <c r="M2717" s="5"/>
      <c r="N2717" s="5"/>
      <c r="O2717" s="5"/>
      <c r="P2717" s="5"/>
    </row>
    <row r="2718" spans="2:16" s="8" customFormat="1" ht="12.75" hidden="1" customHeight="1">
      <c r="B2718" s="37"/>
      <c r="C2718" s="37"/>
      <c r="D2718" s="38"/>
      <c r="E2718" s="38"/>
      <c r="F2718" s="39"/>
      <c r="K2718" s="5"/>
      <c r="L2718" s="5"/>
      <c r="M2718" s="5"/>
      <c r="N2718" s="5"/>
      <c r="O2718" s="5"/>
      <c r="P2718" s="5"/>
    </row>
    <row r="2719" spans="2:16" s="8" customFormat="1" ht="12.75" hidden="1" customHeight="1">
      <c r="B2719" s="37"/>
      <c r="C2719" s="37"/>
      <c r="D2719" s="38"/>
      <c r="E2719" s="38"/>
      <c r="F2719" s="39"/>
      <c r="K2719" s="5"/>
      <c r="L2719" s="5"/>
      <c r="M2719" s="5"/>
      <c r="N2719" s="5"/>
      <c r="O2719" s="5"/>
      <c r="P2719" s="5"/>
    </row>
    <row r="2720" spans="2:16" s="8" customFormat="1" ht="12.75" hidden="1" customHeight="1">
      <c r="B2720" s="37"/>
      <c r="C2720" s="37"/>
      <c r="D2720" s="38"/>
      <c r="E2720" s="38"/>
      <c r="F2720" s="39"/>
      <c r="K2720" s="5"/>
      <c r="L2720" s="5"/>
      <c r="M2720" s="5"/>
      <c r="N2720" s="5"/>
      <c r="O2720" s="5"/>
      <c r="P2720" s="5"/>
    </row>
    <row r="2721" spans="2:16" s="8" customFormat="1" ht="12.75" hidden="1" customHeight="1">
      <c r="B2721" s="37"/>
      <c r="C2721" s="37"/>
      <c r="D2721" s="38"/>
      <c r="E2721" s="38"/>
      <c r="F2721" s="39"/>
      <c r="K2721" s="5"/>
      <c r="L2721" s="5"/>
      <c r="M2721" s="5"/>
      <c r="N2721" s="5"/>
      <c r="O2721" s="5"/>
      <c r="P2721" s="5"/>
    </row>
    <row r="2722" spans="2:16" s="8" customFormat="1" ht="12.75" hidden="1" customHeight="1">
      <c r="B2722" s="37"/>
      <c r="C2722" s="37"/>
      <c r="D2722" s="38"/>
      <c r="E2722" s="38"/>
      <c r="F2722" s="39"/>
      <c r="K2722" s="5"/>
      <c r="L2722" s="5"/>
      <c r="M2722" s="5"/>
      <c r="N2722" s="5"/>
      <c r="O2722" s="5"/>
      <c r="P2722" s="5"/>
    </row>
    <row r="2723" spans="2:16" s="8" customFormat="1" ht="12.75" hidden="1" customHeight="1">
      <c r="B2723" s="37"/>
      <c r="C2723" s="37"/>
      <c r="D2723" s="38"/>
      <c r="E2723" s="38"/>
      <c r="F2723" s="39"/>
      <c r="K2723" s="5"/>
      <c r="L2723" s="5"/>
      <c r="M2723" s="5"/>
      <c r="N2723" s="5"/>
      <c r="O2723" s="5"/>
      <c r="P2723" s="5"/>
    </row>
    <row r="2724" spans="2:16" s="8" customFormat="1" ht="12.75" hidden="1" customHeight="1">
      <c r="B2724" s="37"/>
      <c r="C2724" s="37"/>
      <c r="D2724" s="38"/>
      <c r="E2724" s="38"/>
      <c r="F2724" s="39"/>
      <c r="K2724" s="5"/>
      <c r="L2724" s="5"/>
      <c r="M2724" s="5"/>
      <c r="N2724" s="5"/>
      <c r="O2724" s="5"/>
      <c r="P2724" s="5"/>
    </row>
    <row r="2725" spans="2:16" s="8" customFormat="1" ht="12.75" hidden="1" customHeight="1">
      <c r="B2725" s="37"/>
      <c r="C2725" s="37"/>
      <c r="D2725" s="38"/>
      <c r="E2725" s="38"/>
      <c r="F2725" s="39"/>
      <c r="K2725" s="5"/>
      <c r="L2725" s="5"/>
      <c r="M2725" s="5"/>
      <c r="N2725" s="5"/>
      <c r="O2725" s="5"/>
      <c r="P2725" s="5"/>
    </row>
    <row r="2726" spans="2:16" s="8" customFormat="1" ht="12.75" hidden="1" customHeight="1">
      <c r="B2726" s="37"/>
      <c r="C2726" s="37"/>
      <c r="D2726" s="38"/>
      <c r="E2726" s="38"/>
      <c r="F2726" s="39"/>
      <c r="K2726" s="5"/>
      <c r="L2726" s="5"/>
      <c r="M2726" s="5"/>
      <c r="N2726" s="5"/>
      <c r="O2726" s="5"/>
      <c r="P2726" s="5"/>
    </row>
    <row r="2727" spans="2:16" s="8" customFormat="1" ht="12.75" hidden="1" customHeight="1">
      <c r="B2727" s="37"/>
      <c r="C2727" s="37"/>
      <c r="D2727" s="38"/>
      <c r="E2727" s="38"/>
      <c r="F2727" s="39"/>
      <c r="K2727" s="5"/>
      <c r="L2727" s="5"/>
      <c r="M2727" s="5"/>
      <c r="N2727" s="5"/>
      <c r="O2727" s="5"/>
      <c r="P2727" s="5"/>
    </row>
    <row r="2728" spans="2:16" s="8" customFormat="1" ht="12.75" hidden="1" customHeight="1">
      <c r="B2728" s="37"/>
      <c r="C2728" s="37"/>
      <c r="D2728" s="38"/>
      <c r="E2728" s="38"/>
      <c r="F2728" s="39"/>
      <c r="K2728" s="5"/>
      <c r="L2728" s="5"/>
      <c r="M2728" s="5"/>
      <c r="N2728" s="5"/>
      <c r="O2728" s="5"/>
      <c r="P2728" s="5"/>
    </row>
    <row r="2729" spans="2:16" s="8" customFormat="1" ht="12.75" hidden="1" customHeight="1">
      <c r="B2729" s="37"/>
      <c r="C2729" s="37"/>
      <c r="D2729" s="38"/>
      <c r="E2729" s="38"/>
      <c r="F2729" s="39"/>
      <c r="K2729" s="5"/>
      <c r="L2729" s="5"/>
      <c r="M2729" s="5"/>
      <c r="N2729" s="5"/>
      <c r="O2729" s="5"/>
      <c r="P2729" s="5"/>
    </row>
    <row r="2730" spans="2:16" s="8" customFormat="1" ht="12.75" hidden="1" customHeight="1">
      <c r="B2730" s="37"/>
      <c r="C2730" s="37"/>
      <c r="D2730" s="38"/>
      <c r="E2730" s="38"/>
      <c r="F2730" s="39"/>
      <c r="K2730" s="5"/>
      <c r="L2730" s="5"/>
      <c r="M2730" s="5"/>
      <c r="N2730" s="5"/>
      <c r="O2730" s="5"/>
      <c r="P2730" s="5"/>
    </row>
    <row r="2731" spans="2:16" s="8" customFormat="1" ht="12.75" hidden="1" customHeight="1">
      <c r="B2731" s="37"/>
      <c r="C2731" s="37"/>
      <c r="D2731" s="38"/>
      <c r="E2731" s="38"/>
      <c r="F2731" s="39"/>
      <c r="K2731" s="5"/>
      <c r="L2731" s="5"/>
      <c r="M2731" s="5"/>
      <c r="N2731" s="5"/>
      <c r="O2731" s="5"/>
      <c r="P2731" s="5"/>
    </row>
    <row r="2732" spans="2:16" s="8" customFormat="1" ht="12.75" hidden="1" customHeight="1">
      <c r="B2732" s="37"/>
      <c r="C2732" s="37"/>
      <c r="D2732" s="38"/>
      <c r="E2732" s="38"/>
      <c r="F2732" s="39"/>
      <c r="K2732" s="5"/>
      <c r="L2732" s="5"/>
      <c r="M2732" s="5"/>
      <c r="N2732" s="5"/>
      <c r="O2732" s="5"/>
      <c r="P2732" s="5"/>
    </row>
    <row r="2733" spans="2:16" s="8" customFormat="1" ht="12.75" hidden="1" customHeight="1">
      <c r="B2733" s="37"/>
      <c r="C2733" s="37"/>
      <c r="D2733" s="38"/>
      <c r="E2733" s="38"/>
      <c r="F2733" s="39"/>
      <c r="K2733" s="5"/>
      <c r="L2733" s="5"/>
      <c r="M2733" s="5"/>
      <c r="N2733" s="5"/>
      <c r="O2733" s="5"/>
      <c r="P2733" s="5"/>
    </row>
    <row r="2734" spans="2:16" s="8" customFormat="1" ht="12.75" hidden="1" customHeight="1">
      <c r="B2734" s="37"/>
      <c r="C2734" s="37"/>
      <c r="D2734" s="38"/>
      <c r="E2734" s="38"/>
      <c r="F2734" s="39"/>
      <c r="K2734" s="5"/>
      <c r="L2734" s="5"/>
      <c r="M2734" s="5"/>
      <c r="N2734" s="5"/>
      <c r="O2734" s="5"/>
      <c r="P2734" s="5"/>
    </row>
    <row r="2735" spans="2:16" s="8" customFormat="1" ht="12.75" hidden="1" customHeight="1">
      <c r="B2735" s="37"/>
      <c r="C2735" s="37"/>
      <c r="D2735" s="38"/>
      <c r="E2735" s="38"/>
      <c r="F2735" s="39"/>
      <c r="K2735" s="5"/>
      <c r="L2735" s="5"/>
      <c r="M2735" s="5"/>
      <c r="N2735" s="5"/>
      <c r="O2735" s="5"/>
      <c r="P2735" s="5"/>
    </row>
    <row r="2736" spans="2:16" s="8" customFormat="1" ht="12.75" hidden="1" customHeight="1">
      <c r="B2736" s="37"/>
      <c r="C2736" s="37"/>
      <c r="D2736" s="38"/>
      <c r="E2736" s="38"/>
      <c r="F2736" s="39"/>
      <c r="K2736" s="5"/>
      <c r="L2736" s="5"/>
      <c r="M2736" s="5"/>
      <c r="N2736" s="5"/>
      <c r="O2736" s="5"/>
      <c r="P2736" s="5"/>
    </row>
    <row r="2737" spans="2:16" s="8" customFormat="1" ht="12.75" hidden="1" customHeight="1">
      <c r="B2737" s="37"/>
      <c r="C2737" s="37"/>
      <c r="D2737" s="38"/>
      <c r="E2737" s="38"/>
      <c r="F2737" s="39"/>
      <c r="K2737" s="5"/>
      <c r="L2737" s="5"/>
      <c r="M2737" s="5"/>
      <c r="N2737" s="5"/>
      <c r="O2737" s="5"/>
      <c r="P2737" s="5"/>
    </row>
    <row r="2738" spans="2:16" s="8" customFormat="1" ht="12.75" hidden="1" customHeight="1">
      <c r="B2738" s="37"/>
      <c r="C2738" s="37"/>
      <c r="D2738" s="38"/>
      <c r="E2738" s="38"/>
      <c r="F2738" s="39"/>
      <c r="K2738" s="5"/>
      <c r="L2738" s="5"/>
      <c r="M2738" s="5"/>
      <c r="N2738" s="5"/>
      <c r="O2738" s="5"/>
      <c r="P2738" s="5"/>
    </row>
    <row r="2739" spans="2:16" s="8" customFormat="1" ht="12.75" hidden="1" customHeight="1">
      <c r="B2739" s="37"/>
      <c r="C2739" s="37"/>
      <c r="D2739" s="38"/>
      <c r="E2739" s="38"/>
      <c r="F2739" s="39"/>
      <c r="K2739" s="5"/>
      <c r="L2739" s="5"/>
      <c r="M2739" s="5"/>
      <c r="N2739" s="5"/>
      <c r="O2739" s="5"/>
      <c r="P2739" s="5"/>
    </row>
    <row r="2740" spans="2:16" s="8" customFormat="1" ht="12.75" hidden="1" customHeight="1">
      <c r="B2740" s="37"/>
      <c r="C2740" s="37"/>
      <c r="D2740" s="38"/>
      <c r="E2740" s="38"/>
      <c r="F2740" s="39"/>
      <c r="K2740" s="5"/>
      <c r="L2740" s="5"/>
      <c r="M2740" s="5"/>
      <c r="N2740" s="5"/>
      <c r="O2740" s="5"/>
      <c r="P2740" s="5"/>
    </row>
    <row r="2741" spans="2:16" s="8" customFormat="1" ht="12.75" hidden="1" customHeight="1">
      <c r="B2741" s="37"/>
      <c r="C2741" s="37"/>
      <c r="D2741" s="38"/>
      <c r="E2741" s="38"/>
      <c r="F2741" s="39"/>
      <c r="K2741" s="5"/>
      <c r="L2741" s="5"/>
      <c r="M2741" s="5"/>
      <c r="N2741" s="5"/>
      <c r="O2741" s="5"/>
      <c r="P2741" s="5"/>
    </row>
    <row r="2742" spans="2:16" s="8" customFormat="1" ht="12.75" hidden="1" customHeight="1">
      <c r="B2742" s="37"/>
      <c r="C2742" s="37"/>
      <c r="D2742" s="38"/>
      <c r="E2742" s="38"/>
      <c r="F2742" s="39"/>
      <c r="K2742" s="5"/>
      <c r="L2742" s="5"/>
      <c r="M2742" s="5"/>
      <c r="N2742" s="5"/>
      <c r="O2742" s="5"/>
      <c r="P2742" s="5"/>
    </row>
    <row r="2743" spans="2:16" s="8" customFormat="1" ht="12.75" hidden="1" customHeight="1">
      <c r="B2743" s="37"/>
      <c r="C2743" s="37"/>
      <c r="D2743" s="38"/>
      <c r="E2743" s="38"/>
      <c r="F2743" s="39"/>
      <c r="K2743" s="5"/>
      <c r="L2743" s="5"/>
      <c r="M2743" s="5"/>
      <c r="N2743" s="5"/>
      <c r="O2743" s="5"/>
      <c r="P2743" s="5"/>
    </row>
    <row r="2744" spans="2:16" s="8" customFormat="1" ht="12.75" hidden="1" customHeight="1">
      <c r="B2744" s="37"/>
      <c r="C2744" s="37"/>
      <c r="D2744" s="38"/>
      <c r="E2744" s="38"/>
      <c r="F2744" s="39"/>
      <c r="K2744" s="5"/>
      <c r="L2744" s="5"/>
      <c r="M2744" s="5"/>
      <c r="N2744" s="5"/>
      <c r="O2744" s="5"/>
      <c r="P2744" s="5"/>
    </row>
    <row r="2745" spans="2:16" s="8" customFormat="1" ht="12.75" hidden="1" customHeight="1">
      <c r="B2745" s="37"/>
      <c r="C2745" s="37"/>
      <c r="D2745" s="38"/>
      <c r="E2745" s="38"/>
      <c r="F2745" s="39"/>
      <c r="K2745" s="5"/>
      <c r="L2745" s="5"/>
      <c r="M2745" s="5"/>
      <c r="N2745" s="5"/>
      <c r="O2745" s="5"/>
      <c r="P2745" s="5"/>
    </row>
    <row r="2746" spans="2:16" s="8" customFormat="1" ht="12.75" hidden="1" customHeight="1">
      <c r="B2746" s="37"/>
      <c r="C2746" s="37"/>
      <c r="D2746" s="38"/>
      <c r="E2746" s="38"/>
      <c r="F2746" s="39"/>
      <c r="K2746" s="5"/>
      <c r="L2746" s="5"/>
      <c r="M2746" s="5"/>
      <c r="N2746" s="5"/>
      <c r="O2746" s="5"/>
      <c r="P2746" s="5"/>
    </row>
    <row r="2747" spans="2:16" s="8" customFormat="1" ht="12.75" hidden="1" customHeight="1">
      <c r="B2747" s="37"/>
      <c r="C2747" s="37"/>
      <c r="D2747" s="38"/>
      <c r="E2747" s="38"/>
      <c r="F2747" s="39"/>
      <c r="K2747" s="5"/>
      <c r="L2747" s="5"/>
      <c r="M2747" s="5"/>
      <c r="N2747" s="5"/>
      <c r="O2747" s="5"/>
      <c r="P2747" s="5"/>
    </row>
    <row r="2748" spans="2:16" s="8" customFormat="1" ht="12.75" hidden="1" customHeight="1">
      <c r="B2748" s="37"/>
      <c r="C2748" s="37"/>
      <c r="D2748" s="38"/>
      <c r="E2748" s="38"/>
      <c r="F2748" s="39"/>
      <c r="K2748" s="5"/>
      <c r="L2748" s="5"/>
      <c r="M2748" s="5"/>
      <c r="N2748" s="5"/>
      <c r="O2748" s="5"/>
      <c r="P2748" s="5"/>
    </row>
    <row r="2749" spans="2:16" s="8" customFormat="1" ht="12.75" hidden="1" customHeight="1">
      <c r="B2749" s="37"/>
      <c r="C2749" s="37"/>
      <c r="D2749" s="38"/>
      <c r="E2749" s="38"/>
      <c r="F2749" s="39"/>
      <c r="K2749" s="5"/>
      <c r="L2749" s="5"/>
      <c r="M2749" s="5"/>
      <c r="N2749" s="5"/>
      <c r="O2749" s="5"/>
      <c r="P2749" s="5"/>
    </row>
    <row r="2750" spans="2:16" s="8" customFormat="1" ht="12.75" hidden="1" customHeight="1">
      <c r="B2750" s="37"/>
      <c r="C2750" s="37"/>
      <c r="D2750" s="38"/>
      <c r="E2750" s="38"/>
      <c r="F2750" s="39"/>
      <c r="K2750" s="5"/>
      <c r="L2750" s="5"/>
      <c r="M2750" s="5"/>
      <c r="N2750" s="5"/>
      <c r="O2750" s="5"/>
      <c r="P2750" s="5"/>
    </row>
    <row r="2751" spans="2:16" s="8" customFormat="1" ht="12.75" hidden="1" customHeight="1">
      <c r="B2751" s="37"/>
      <c r="C2751" s="37"/>
      <c r="D2751" s="38"/>
      <c r="E2751" s="38"/>
      <c r="F2751" s="39"/>
      <c r="K2751" s="5"/>
      <c r="L2751" s="5"/>
      <c r="M2751" s="5"/>
      <c r="N2751" s="5"/>
      <c r="O2751" s="5"/>
      <c r="P2751" s="5"/>
    </row>
    <row r="2752" spans="2:16" s="8" customFormat="1" ht="12.75" hidden="1" customHeight="1">
      <c r="B2752" s="37"/>
      <c r="C2752" s="37"/>
      <c r="D2752" s="38"/>
      <c r="E2752" s="38"/>
      <c r="F2752" s="39"/>
      <c r="K2752" s="5"/>
      <c r="L2752" s="5"/>
      <c r="M2752" s="5"/>
      <c r="N2752" s="5"/>
      <c r="O2752" s="5"/>
      <c r="P2752" s="5"/>
    </row>
    <row r="2753" spans="2:16" s="8" customFormat="1" ht="12.75" hidden="1" customHeight="1">
      <c r="B2753" s="37"/>
      <c r="C2753" s="37"/>
      <c r="D2753" s="38"/>
      <c r="E2753" s="38"/>
      <c r="F2753" s="39"/>
      <c r="K2753" s="5"/>
      <c r="L2753" s="5"/>
      <c r="M2753" s="5"/>
      <c r="N2753" s="5"/>
      <c r="O2753" s="5"/>
      <c r="P2753" s="5"/>
    </row>
    <row r="2754" spans="2:16" s="8" customFormat="1" ht="12.75" hidden="1" customHeight="1">
      <c r="B2754" s="37"/>
      <c r="C2754" s="37"/>
      <c r="D2754" s="38"/>
      <c r="E2754" s="38"/>
      <c r="F2754" s="39"/>
      <c r="K2754" s="5"/>
      <c r="L2754" s="5"/>
      <c r="M2754" s="5"/>
      <c r="N2754" s="5"/>
      <c r="O2754" s="5"/>
      <c r="P2754" s="5"/>
    </row>
    <row r="2755" spans="2:16" s="8" customFormat="1" ht="12.75" hidden="1" customHeight="1">
      <c r="B2755" s="37"/>
      <c r="C2755" s="37"/>
      <c r="D2755" s="38"/>
      <c r="E2755" s="38"/>
      <c r="F2755" s="39"/>
      <c r="K2755" s="5"/>
      <c r="L2755" s="5"/>
      <c r="M2755" s="5"/>
      <c r="N2755" s="5"/>
      <c r="O2755" s="5"/>
      <c r="P2755" s="5"/>
    </row>
    <row r="2756" spans="2:16" s="8" customFormat="1" ht="12.75" hidden="1" customHeight="1">
      <c r="B2756" s="37"/>
      <c r="C2756" s="37"/>
      <c r="D2756" s="38"/>
      <c r="E2756" s="38"/>
      <c r="F2756" s="39"/>
      <c r="K2756" s="5"/>
      <c r="L2756" s="5"/>
      <c r="M2756" s="5"/>
      <c r="N2756" s="5"/>
      <c r="O2756" s="5"/>
      <c r="P2756" s="5"/>
    </row>
    <row r="2757" spans="2:16" s="8" customFormat="1" ht="12.75" hidden="1" customHeight="1">
      <c r="B2757" s="37"/>
      <c r="C2757" s="37"/>
      <c r="D2757" s="38"/>
      <c r="E2757" s="38"/>
      <c r="F2757" s="39"/>
      <c r="K2757" s="5"/>
      <c r="L2757" s="5"/>
      <c r="M2757" s="5"/>
      <c r="N2757" s="5"/>
      <c r="O2757" s="5"/>
      <c r="P2757" s="5"/>
    </row>
    <row r="2758" spans="2:16" s="8" customFormat="1" ht="12.75" hidden="1" customHeight="1">
      <c r="B2758" s="37"/>
      <c r="C2758" s="37"/>
      <c r="D2758" s="38"/>
      <c r="E2758" s="38"/>
      <c r="F2758" s="39"/>
      <c r="K2758" s="5"/>
      <c r="L2758" s="5"/>
      <c r="M2758" s="5"/>
      <c r="N2758" s="5"/>
      <c r="O2758" s="5"/>
      <c r="P2758" s="5"/>
    </row>
    <row r="2759" spans="2:16" s="8" customFormat="1" ht="12.75" hidden="1" customHeight="1">
      <c r="B2759" s="37"/>
      <c r="C2759" s="37"/>
      <c r="D2759" s="38"/>
      <c r="E2759" s="38"/>
      <c r="F2759" s="39"/>
      <c r="K2759" s="5"/>
      <c r="L2759" s="5"/>
      <c r="M2759" s="5"/>
      <c r="N2759" s="5"/>
      <c r="O2759" s="5"/>
      <c r="P2759" s="5"/>
    </row>
    <row r="2760" spans="2:16" s="8" customFormat="1" ht="12.75" hidden="1" customHeight="1">
      <c r="B2760" s="37"/>
      <c r="C2760" s="37"/>
      <c r="D2760" s="38"/>
      <c r="E2760" s="38"/>
      <c r="F2760" s="39"/>
      <c r="K2760" s="5"/>
      <c r="L2760" s="5"/>
      <c r="M2760" s="5"/>
      <c r="N2760" s="5"/>
      <c r="O2760" s="5"/>
      <c r="P2760" s="5"/>
    </row>
    <row r="2761" spans="2:16" s="8" customFormat="1" ht="12.75" hidden="1" customHeight="1">
      <c r="B2761" s="37"/>
      <c r="C2761" s="37"/>
      <c r="D2761" s="38"/>
      <c r="E2761" s="38"/>
      <c r="F2761" s="39"/>
      <c r="K2761" s="5"/>
      <c r="L2761" s="5"/>
      <c r="M2761" s="5"/>
      <c r="N2761" s="5"/>
      <c r="O2761" s="5"/>
      <c r="P2761" s="5"/>
    </row>
    <row r="2762" spans="2:16" s="8" customFormat="1" ht="12.75" hidden="1" customHeight="1">
      <c r="B2762" s="37"/>
      <c r="C2762" s="37"/>
      <c r="D2762" s="38"/>
      <c r="E2762" s="38"/>
      <c r="F2762" s="39"/>
      <c r="K2762" s="5"/>
      <c r="L2762" s="5"/>
      <c r="M2762" s="5"/>
      <c r="N2762" s="5"/>
      <c r="O2762" s="5"/>
      <c r="P2762" s="5"/>
    </row>
    <row r="2763" spans="2:16" s="8" customFormat="1" ht="12.75" hidden="1" customHeight="1">
      <c r="B2763" s="37"/>
      <c r="C2763" s="37"/>
      <c r="D2763" s="38"/>
      <c r="E2763" s="38"/>
      <c r="F2763" s="39"/>
      <c r="K2763" s="5"/>
      <c r="L2763" s="5"/>
      <c r="M2763" s="5"/>
      <c r="N2763" s="5"/>
      <c r="O2763" s="5"/>
      <c r="P2763" s="5"/>
    </row>
    <row r="2764" spans="2:16" s="8" customFormat="1" ht="12.75" hidden="1" customHeight="1">
      <c r="B2764" s="37"/>
      <c r="C2764" s="37"/>
      <c r="D2764" s="38"/>
      <c r="E2764" s="38"/>
      <c r="F2764" s="39"/>
      <c r="K2764" s="5"/>
      <c r="L2764" s="5"/>
      <c r="M2764" s="5"/>
      <c r="N2764" s="5"/>
      <c r="O2764" s="5"/>
      <c r="P2764" s="5"/>
    </row>
    <row r="2765" spans="2:16" s="8" customFormat="1" ht="12.75" hidden="1" customHeight="1">
      <c r="B2765" s="37"/>
      <c r="C2765" s="37"/>
      <c r="D2765" s="38"/>
      <c r="E2765" s="38"/>
      <c r="F2765" s="39"/>
      <c r="K2765" s="5"/>
      <c r="L2765" s="5"/>
      <c r="M2765" s="5"/>
      <c r="N2765" s="5"/>
      <c r="O2765" s="5"/>
      <c r="P2765" s="5"/>
    </row>
    <row r="2766" spans="2:16" s="8" customFormat="1" ht="12.75" hidden="1" customHeight="1">
      <c r="B2766" s="37"/>
      <c r="C2766" s="37"/>
      <c r="D2766" s="38"/>
      <c r="E2766" s="38"/>
      <c r="F2766" s="39"/>
      <c r="K2766" s="5"/>
      <c r="L2766" s="5"/>
      <c r="M2766" s="5"/>
      <c r="N2766" s="5"/>
      <c r="O2766" s="5"/>
      <c r="P2766" s="5"/>
    </row>
    <row r="2767" spans="2:16" s="8" customFormat="1" ht="12.75" hidden="1" customHeight="1">
      <c r="B2767" s="37"/>
      <c r="C2767" s="37"/>
      <c r="D2767" s="38"/>
      <c r="E2767" s="38"/>
      <c r="F2767" s="39"/>
      <c r="K2767" s="5"/>
      <c r="L2767" s="5"/>
      <c r="M2767" s="5"/>
      <c r="N2767" s="5"/>
      <c r="O2767" s="5"/>
      <c r="P2767" s="5"/>
    </row>
    <row r="2768" spans="2:16" s="8" customFormat="1" ht="12.75" hidden="1" customHeight="1">
      <c r="B2768" s="37"/>
      <c r="C2768" s="37"/>
      <c r="D2768" s="38"/>
      <c r="E2768" s="38"/>
      <c r="F2768" s="39"/>
      <c r="K2768" s="5"/>
      <c r="L2768" s="5"/>
      <c r="M2768" s="5"/>
      <c r="N2768" s="5"/>
      <c r="O2768" s="5"/>
      <c r="P2768" s="5"/>
    </row>
    <row r="2769" spans="2:16" s="8" customFormat="1" ht="12.75" hidden="1" customHeight="1">
      <c r="B2769" s="37"/>
      <c r="C2769" s="37"/>
      <c r="D2769" s="38"/>
      <c r="E2769" s="38"/>
      <c r="F2769" s="39"/>
      <c r="K2769" s="5"/>
      <c r="L2769" s="5"/>
      <c r="M2769" s="5"/>
      <c r="N2769" s="5"/>
      <c r="O2769" s="5"/>
      <c r="P2769" s="5"/>
    </row>
    <row r="2770" spans="2:16" s="8" customFormat="1" ht="12.75" hidden="1" customHeight="1">
      <c r="B2770" s="37"/>
      <c r="C2770" s="37"/>
      <c r="D2770" s="38"/>
      <c r="E2770" s="38"/>
      <c r="F2770" s="39"/>
      <c r="K2770" s="5"/>
      <c r="L2770" s="5"/>
      <c r="M2770" s="5"/>
      <c r="N2770" s="5"/>
      <c r="O2770" s="5"/>
      <c r="P2770" s="5"/>
    </row>
    <row r="2771" spans="2:16" s="8" customFormat="1" ht="12.75" hidden="1" customHeight="1">
      <c r="B2771" s="37"/>
      <c r="C2771" s="37"/>
      <c r="D2771" s="38"/>
      <c r="E2771" s="38"/>
      <c r="F2771" s="39"/>
      <c r="K2771" s="5"/>
      <c r="L2771" s="5"/>
      <c r="M2771" s="5"/>
      <c r="N2771" s="5"/>
      <c r="O2771" s="5"/>
      <c r="P2771" s="5"/>
    </row>
    <row r="2772" spans="2:16" s="8" customFormat="1" ht="12.75" hidden="1" customHeight="1">
      <c r="B2772" s="37"/>
      <c r="C2772" s="37"/>
      <c r="D2772" s="38"/>
      <c r="E2772" s="38"/>
      <c r="F2772" s="39"/>
      <c r="K2772" s="5"/>
      <c r="L2772" s="5"/>
      <c r="M2772" s="5"/>
      <c r="N2772" s="5"/>
      <c r="O2772" s="5"/>
      <c r="P2772" s="5"/>
    </row>
    <row r="2773" spans="2:16" s="8" customFormat="1" ht="12.75" hidden="1" customHeight="1">
      <c r="B2773" s="37"/>
      <c r="C2773" s="37"/>
      <c r="D2773" s="38"/>
      <c r="E2773" s="38"/>
      <c r="F2773" s="39"/>
      <c r="K2773" s="5"/>
      <c r="L2773" s="5"/>
      <c r="M2773" s="5"/>
      <c r="N2773" s="5"/>
      <c r="O2773" s="5"/>
      <c r="P2773" s="5"/>
    </row>
    <row r="2774" spans="2:16" s="8" customFormat="1" ht="12.75" hidden="1" customHeight="1">
      <c r="B2774" s="37"/>
      <c r="C2774" s="37"/>
      <c r="D2774" s="38"/>
      <c r="E2774" s="38"/>
      <c r="F2774" s="39"/>
      <c r="K2774" s="5"/>
      <c r="L2774" s="5"/>
      <c r="M2774" s="5"/>
      <c r="N2774" s="5"/>
      <c r="O2774" s="5"/>
      <c r="P2774" s="5"/>
    </row>
    <row r="2775" spans="2:16" s="8" customFormat="1" ht="12.75" hidden="1" customHeight="1">
      <c r="B2775" s="37"/>
      <c r="C2775" s="37"/>
      <c r="D2775" s="38"/>
      <c r="E2775" s="38"/>
      <c r="F2775" s="39"/>
      <c r="K2775" s="5"/>
      <c r="L2775" s="5"/>
      <c r="M2775" s="5"/>
      <c r="N2775" s="5"/>
      <c r="O2775" s="5"/>
      <c r="P2775" s="5"/>
    </row>
    <row r="2776" spans="2:16" s="8" customFormat="1" ht="12.75" hidden="1" customHeight="1">
      <c r="B2776" s="37"/>
      <c r="C2776" s="37"/>
      <c r="D2776" s="38"/>
      <c r="E2776" s="38"/>
      <c r="F2776" s="39"/>
      <c r="K2776" s="5"/>
      <c r="L2776" s="5"/>
      <c r="M2776" s="5"/>
      <c r="N2776" s="5"/>
      <c r="O2776" s="5"/>
      <c r="P2776" s="5"/>
    </row>
    <row r="2777" spans="2:16" s="8" customFormat="1" ht="12.75" hidden="1" customHeight="1">
      <c r="B2777" s="37"/>
      <c r="C2777" s="37"/>
      <c r="D2777" s="38"/>
      <c r="E2777" s="38"/>
      <c r="F2777" s="39"/>
      <c r="K2777" s="5"/>
      <c r="L2777" s="5"/>
      <c r="M2777" s="5"/>
      <c r="N2777" s="5"/>
      <c r="O2777" s="5"/>
      <c r="P2777" s="5"/>
    </row>
    <row r="2778" spans="2:16" s="8" customFormat="1" ht="12.75" hidden="1" customHeight="1">
      <c r="B2778" s="37"/>
      <c r="C2778" s="37"/>
      <c r="D2778" s="38"/>
      <c r="E2778" s="38"/>
      <c r="F2778" s="39"/>
      <c r="K2778" s="5"/>
      <c r="L2778" s="5"/>
      <c r="M2778" s="5"/>
      <c r="N2778" s="5"/>
      <c r="O2778" s="5"/>
      <c r="P2778" s="5"/>
    </row>
    <row r="2779" spans="2:16" s="8" customFormat="1" ht="12.75" hidden="1" customHeight="1">
      <c r="B2779" s="37"/>
      <c r="C2779" s="37"/>
      <c r="D2779" s="38"/>
      <c r="E2779" s="38"/>
      <c r="F2779" s="39"/>
      <c r="K2779" s="5"/>
      <c r="L2779" s="5"/>
      <c r="M2779" s="5"/>
      <c r="N2779" s="5"/>
      <c r="O2779" s="5"/>
      <c r="P2779" s="5"/>
    </row>
    <row r="2780" spans="2:16" s="8" customFormat="1" ht="12.75" hidden="1" customHeight="1">
      <c r="B2780" s="37"/>
      <c r="C2780" s="37"/>
      <c r="D2780" s="38"/>
      <c r="E2780" s="38"/>
      <c r="F2780" s="39"/>
      <c r="K2780" s="5"/>
      <c r="L2780" s="5"/>
      <c r="M2780" s="5"/>
      <c r="N2780" s="5"/>
      <c r="O2780" s="5"/>
      <c r="P2780" s="5"/>
    </row>
    <row r="2781" spans="2:16" s="8" customFormat="1" ht="12.75" hidden="1" customHeight="1">
      <c r="B2781" s="37"/>
      <c r="C2781" s="37"/>
      <c r="D2781" s="38"/>
      <c r="E2781" s="38"/>
      <c r="F2781" s="39"/>
      <c r="K2781" s="5"/>
      <c r="L2781" s="5"/>
      <c r="M2781" s="5"/>
      <c r="N2781" s="5"/>
      <c r="O2781" s="5"/>
      <c r="P2781" s="5"/>
    </row>
    <row r="2782" spans="2:16" s="8" customFormat="1" ht="12.75" hidden="1" customHeight="1">
      <c r="B2782" s="37"/>
      <c r="C2782" s="37"/>
      <c r="D2782" s="38"/>
      <c r="E2782" s="38"/>
      <c r="F2782" s="39"/>
      <c r="K2782" s="5"/>
      <c r="L2782" s="5"/>
      <c r="M2782" s="5"/>
      <c r="N2782" s="5"/>
      <c r="O2782" s="5"/>
      <c r="P2782" s="5"/>
    </row>
    <row r="2783" spans="2:16" s="8" customFormat="1" ht="12.75" hidden="1" customHeight="1">
      <c r="B2783" s="37"/>
      <c r="C2783" s="37"/>
      <c r="D2783" s="38"/>
      <c r="E2783" s="38"/>
      <c r="F2783" s="39"/>
      <c r="K2783" s="5"/>
      <c r="L2783" s="5"/>
      <c r="M2783" s="5"/>
      <c r="N2783" s="5"/>
      <c r="O2783" s="5"/>
      <c r="P2783" s="5"/>
    </row>
    <row r="2784" spans="2:16" s="8" customFormat="1" ht="12.75" hidden="1" customHeight="1">
      <c r="B2784" s="37"/>
      <c r="C2784" s="37"/>
      <c r="D2784" s="38"/>
      <c r="E2784" s="38"/>
      <c r="F2784" s="39"/>
      <c r="K2784" s="5"/>
      <c r="L2784" s="5"/>
      <c r="M2784" s="5"/>
      <c r="N2784" s="5"/>
      <c r="O2784" s="5"/>
      <c r="P2784" s="5"/>
    </row>
    <row r="2785" spans="2:16" s="8" customFormat="1" ht="12.75" hidden="1" customHeight="1">
      <c r="B2785" s="37"/>
      <c r="C2785" s="37"/>
      <c r="D2785" s="38"/>
      <c r="E2785" s="38"/>
      <c r="F2785" s="39"/>
      <c r="K2785" s="5"/>
      <c r="L2785" s="5"/>
      <c r="M2785" s="5"/>
      <c r="N2785" s="5"/>
      <c r="O2785" s="5"/>
      <c r="P2785" s="5"/>
    </row>
    <row r="2786" spans="2:16" s="8" customFormat="1" ht="12.75" hidden="1" customHeight="1">
      <c r="B2786" s="37"/>
      <c r="C2786" s="37"/>
      <c r="D2786" s="38"/>
      <c r="E2786" s="38"/>
      <c r="F2786" s="39"/>
      <c r="K2786" s="5"/>
      <c r="L2786" s="5"/>
      <c r="M2786" s="5"/>
      <c r="N2786" s="5"/>
      <c r="O2786" s="5"/>
      <c r="P2786" s="5"/>
    </row>
    <row r="2787" spans="2:16" s="8" customFormat="1" ht="12.75" hidden="1" customHeight="1">
      <c r="B2787" s="37"/>
      <c r="C2787" s="37"/>
      <c r="D2787" s="38"/>
      <c r="E2787" s="38"/>
      <c r="F2787" s="39"/>
      <c r="K2787" s="5"/>
      <c r="L2787" s="5"/>
      <c r="M2787" s="5"/>
      <c r="N2787" s="5"/>
      <c r="O2787" s="5"/>
      <c r="P2787" s="5"/>
    </row>
    <row r="2788" spans="2:16" s="8" customFormat="1" ht="12.75" hidden="1" customHeight="1">
      <c r="B2788" s="37"/>
      <c r="C2788" s="37"/>
      <c r="D2788" s="38"/>
      <c r="E2788" s="38"/>
      <c r="F2788" s="39"/>
      <c r="K2788" s="5"/>
      <c r="L2788" s="5"/>
      <c r="M2788" s="5"/>
      <c r="N2788" s="5"/>
      <c r="O2788" s="5"/>
      <c r="P2788" s="5"/>
    </row>
    <row r="2789" spans="2:16" s="8" customFormat="1" ht="12.75" hidden="1" customHeight="1">
      <c r="B2789" s="37"/>
      <c r="C2789" s="37"/>
      <c r="D2789" s="38"/>
      <c r="E2789" s="38"/>
      <c r="F2789" s="39"/>
      <c r="K2789" s="5"/>
      <c r="L2789" s="5"/>
      <c r="M2789" s="5"/>
      <c r="N2789" s="5"/>
      <c r="O2789" s="5"/>
      <c r="P2789" s="5"/>
    </row>
    <row r="2790" spans="2:16" s="8" customFormat="1" ht="12.75" hidden="1" customHeight="1">
      <c r="B2790" s="37"/>
      <c r="C2790" s="37"/>
      <c r="D2790" s="38"/>
      <c r="E2790" s="38"/>
      <c r="F2790" s="39"/>
      <c r="K2790" s="5"/>
      <c r="L2790" s="5"/>
      <c r="M2790" s="5"/>
      <c r="N2790" s="5"/>
      <c r="O2790" s="5"/>
      <c r="P2790" s="5"/>
    </row>
    <row r="2791" spans="2:16" s="8" customFormat="1" ht="12.75" hidden="1" customHeight="1">
      <c r="B2791" s="37"/>
      <c r="C2791" s="37"/>
      <c r="D2791" s="38"/>
      <c r="E2791" s="38"/>
      <c r="F2791" s="39"/>
      <c r="K2791" s="5"/>
      <c r="L2791" s="5"/>
      <c r="M2791" s="5"/>
      <c r="N2791" s="5"/>
      <c r="O2791" s="5"/>
      <c r="P2791" s="5"/>
    </row>
    <row r="2792" spans="2:16" s="8" customFormat="1" ht="12.75" hidden="1" customHeight="1">
      <c r="B2792" s="37"/>
      <c r="C2792" s="37"/>
      <c r="D2792" s="38"/>
      <c r="E2792" s="38"/>
      <c r="F2792" s="39"/>
      <c r="K2792" s="5"/>
      <c r="L2792" s="5"/>
      <c r="M2792" s="5"/>
      <c r="N2792" s="5"/>
      <c r="O2792" s="5"/>
      <c r="P2792" s="5"/>
    </row>
    <row r="2793" spans="2:16" s="8" customFormat="1" ht="12.75" hidden="1" customHeight="1">
      <c r="B2793" s="37"/>
      <c r="C2793" s="37"/>
      <c r="D2793" s="38"/>
      <c r="E2793" s="38"/>
      <c r="F2793" s="39"/>
      <c r="K2793" s="5"/>
      <c r="L2793" s="5"/>
      <c r="M2793" s="5"/>
      <c r="N2793" s="5"/>
      <c r="O2793" s="5"/>
      <c r="P2793" s="5"/>
    </row>
    <row r="2794" spans="2:16" s="8" customFormat="1" ht="12.75" hidden="1" customHeight="1">
      <c r="B2794" s="37"/>
      <c r="C2794" s="37"/>
      <c r="D2794" s="38"/>
      <c r="E2794" s="38"/>
      <c r="F2794" s="39"/>
      <c r="K2794" s="5"/>
      <c r="L2794" s="5"/>
      <c r="M2794" s="5"/>
      <c r="N2794" s="5"/>
      <c r="O2794" s="5"/>
      <c r="P2794" s="5"/>
    </row>
    <row r="2795" spans="2:16" s="8" customFormat="1" ht="12.75" hidden="1" customHeight="1">
      <c r="B2795" s="37"/>
      <c r="C2795" s="37"/>
      <c r="D2795" s="38"/>
      <c r="E2795" s="38"/>
      <c r="F2795" s="39"/>
      <c r="K2795" s="5"/>
      <c r="L2795" s="5"/>
      <c r="M2795" s="5"/>
      <c r="N2795" s="5"/>
      <c r="O2795" s="5"/>
      <c r="P2795" s="5"/>
    </row>
    <row r="2796" spans="2:16" s="8" customFormat="1" ht="12.75" hidden="1" customHeight="1">
      <c r="B2796" s="37"/>
      <c r="C2796" s="37"/>
      <c r="D2796" s="38"/>
      <c r="E2796" s="38"/>
      <c r="F2796" s="39"/>
      <c r="K2796" s="5"/>
      <c r="L2796" s="5"/>
      <c r="M2796" s="5"/>
      <c r="N2796" s="5"/>
      <c r="O2796" s="5"/>
      <c r="P2796" s="5"/>
    </row>
    <row r="2797" spans="2:16" s="8" customFormat="1" ht="12.75" hidden="1" customHeight="1">
      <c r="B2797" s="37"/>
      <c r="C2797" s="37"/>
      <c r="D2797" s="38"/>
      <c r="E2797" s="38"/>
      <c r="F2797" s="39"/>
      <c r="K2797" s="5"/>
      <c r="L2797" s="5"/>
      <c r="M2797" s="5"/>
      <c r="N2797" s="5"/>
      <c r="O2797" s="5"/>
      <c r="P2797" s="5"/>
    </row>
    <row r="2798" spans="2:16" s="8" customFormat="1" ht="12.75" hidden="1" customHeight="1">
      <c r="B2798" s="37"/>
      <c r="C2798" s="37"/>
      <c r="D2798" s="38"/>
      <c r="E2798" s="38"/>
      <c r="F2798" s="39"/>
      <c r="K2798" s="5"/>
      <c r="L2798" s="5"/>
      <c r="M2798" s="5"/>
      <c r="N2798" s="5"/>
      <c r="O2798" s="5"/>
      <c r="P2798" s="5"/>
    </row>
    <row r="2799" spans="2:16" s="8" customFormat="1" ht="12.75" hidden="1" customHeight="1">
      <c r="B2799" s="37"/>
      <c r="C2799" s="37"/>
      <c r="D2799" s="38"/>
      <c r="E2799" s="38"/>
      <c r="F2799" s="39"/>
      <c r="K2799" s="5"/>
      <c r="L2799" s="5"/>
      <c r="M2799" s="5"/>
      <c r="N2799" s="5"/>
      <c r="O2799" s="5"/>
      <c r="P2799" s="5"/>
    </row>
    <row r="2800" spans="2:16" s="8" customFormat="1" ht="12.75" hidden="1" customHeight="1">
      <c r="B2800" s="37"/>
      <c r="C2800" s="37"/>
      <c r="D2800" s="38"/>
      <c r="E2800" s="38"/>
      <c r="F2800" s="39"/>
      <c r="K2800" s="5"/>
      <c r="L2800" s="5"/>
      <c r="M2800" s="5"/>
      <c r="N2800" s="5"/>
      <c r="O2800" s="5"/>
      <c r="P2800" s="5"/>
    </row>
    <row r="2801" spans="2:16" s="8" customFormat="1" ht="12.75" hidden="1" customHeight="1">
      <c r="B2801" s="37"/>
      <c r="C2801" s="37"/>
      <c r="D2801" s="38"/>
      <c r="E2801" s="38"/>
      <c r="F2801" s="39"/>
      <c r="K2801" s="5"/>
      <c r="L2801" s="5"/>
      <c r="M2801" s="5"/>
      <c r="N2801" s="5"/>
      <c r="O2801" s="5"/>
      <c r="P2801" s="5"/>
    </row>
    <row r="2802" spans="2:16" s="8" customFormat="1" ht="12.75" hidden="1" customHeight="1">
      <c r="B2802" s="37"/>
      <c r="C2802" s="37"/>
      <c r="D2802" s="38"/>
      <c r="E2802" s="38"/>
      <c r="F2802" s="39"/>
      <c r="K2802" s="5"/>
      <c r="L2802" s="5"/>
      <c r="M2802" s="5"/>
      <c r="N2802" s="5"/>
      <c r="O2802" s="5"/>
      <c r="P2802" s="5"/>
    </row>
    <row r="2803" spans="2:16" s="8" customFormat="1" ht="12.75" hidden="1" customHeight="1">
      <c r="B2803" s="37"/>
      <c r="C2803" s="37"/>
      <c r="D2803" s="38"/>
      <c r="E2803" s="38"/>
      <c r="F2803" s="39"/>
      <c r="K2803" s="5"/>
      <c r="L2803" s="5"/>
      <c r="M2803" s="5"/>
      <c r="N2803" s="5"/>
      <c r="O2803" s="5"/>
      <c r="P2803" s="5"/>
    </row>
    <row r="2804" spans="2:16" s="8" customFormat="1" ht="12.75" hidden="1" customHeight="1">
      <c r="B2804" s="37"/>
      <c r="C2804" s="37"/>
      <c r="D2804" s="38"/>
      <c r="E2804" s="38"/>
      <c r="F2804" s="39"/>
      <c r="K2804" s="5"/>
      <c r="L2804" s="5"/>
      <c r="M2804" s="5"/>
      <c r="N2804" s="5"/>
      <c r="O2804" s="5"/>
      <c r="P2804" s="5"/>
    </row>
    <row r="2805" spans="2:16" s="8" customFormat="1" ht="12.75" hidden="1" customHeight="1">
      <c r="B2805" s="37"/>
      <c r="C2805" s="37"/>
      <c r="D2805" s="38"/>
      <c r="E2805" s="38"/>
      <c r="F2805" s="39"/>
      <c r="K2805" s="5"/>
      <c r="L2805" s="5"/>
      <c r="M2805" s="5"/>
      <c r="N2805" s="5"/>
      <c r="O2805" s="5"/>
      <c r="P2805" s="5"/>
    </row>
    <row r="2806" spans="2:16" s="8" customFormat="1" ht="12.75" hidden="1" customHeight="1">
      <c r="B2806" s="37"/>
      <c r="C2806" s="37"/>
      <c r="D2806" s="38"/>
      <c r="E2806" s="38"/>
      <c r="F2806" s="39"/>
      <c r="K2806" s="5"/>
      <c r="L2806" s="5"/>
      <c r="M2806" s="5"/>
      <c r="N2806" s="5"/>
      <c r="O2806" s="5"/>
      <c r="P2806" s="5"/>
    </row>
    <row r="2807" spans="2:16" s="8" customFormat="1" ht="12.75" hidden="1" customHeight="1">
      <c r="B2807" s="37"/>
      <c r="C2807" s="37"/>
      <c r="D2807" s="38"/>
      <c r="E2807" s="38"/>
      <c r="F2807" s="39"/>
      <c r="K2807" s="5"/>
      <c r="L2807" s="5"/>
      <c r="M2807" s="5"/>
      <c r="N2807" s="5"/>
      <c r="O2807" s="5"/>
      <c r="P2807" s="5"/>
    </row>
    <row r="2808" spans="2:16" s="8" customFormat="1" ht="12.75" hidden="1" customHeight="1">
      <c r="B2808" s="37"/>
      <c r="C2808" s="37"/>
      <c r="D2808" s="38"/>
      <c r="E2808" s="38"/>
      <c r="F2808" s="39"/>
      <c r="K2808" s="5"/>
      <c r="L2808" s="5"/>
      <c r="M2808" s="5"/>
      <c r="N2808" s="5"/>
      <c r="O2808" s="5"/>
      <c r="P2808" s="5"/>
    </row>
    <row r="2809" spans="2:16" s="8" customFormat="1" ht="12.75" hidden="1" customHeight="1">
      <c r="B2809" s="37"/>
      <c r="C2809" s="37"/>
      <c r="D2809" s="38"/>
      <c r="E2809" s="38"/>
      <c r="F2809" s="39"/>
      <c r="K2809" s="5"/>
      <c r="L2809" s="5"/>
      <c r="M2809" s="5"/>
      <c r="N2809" s="5"/>
      <c r="O2809" s="5"/>
      <c r="P2809" s="5"/>
    </row>
    <row r="2810" spans="2:16" s="8" customFormat="1" ht="12.75" hidden="1" customHeight="1">
      <c r="B2810" s="37"/>
      <c r="C2810" s="37"/>
      <c r="D2810" s="38"/>
      <c r="E2810" s="38"/>
      <c r="F2810" s="39"/>
      <c r="K2810" s="5"/>
      <c r="L2810" s="5"/>
      <c r="M2810" s="5"/>
      <c r="N2810" s="5"/>
      <c r="O2810" s="5"/>
      <c r="P2810" s="5"/>
    </row>
    <row r="2811" spans="2:16" s="8" customFormat="1" ht="12.75" hidden="1" customHeight="1">
      <c r="B2811" s="37"/>
      <c r="C2811" s="37"/>
      <c r="D2811" s="38"/>
      <c r="E2811" s="38"/>
      <c r="F2811" s="39"/>
      <c r="K2811" s="5"/>
      <c r="L2811" s="5"/>
      <c r="M2811" s="5"/>
      <c r="N2811" s="5"/>
      <c r="O2811" s="5"/>
      <c r="P2811" s="5"/>
    </row>
    <row r="2812" spans="2:16" s="8" customFormat="1" ht="12.75" hidden="1" customHeight="1">
      <c r="B2812" s="37"/>
      <c r="C2812" s="37"/>
      <c r="D2812" s="38"/>
      <c r="E2812" s="38"/>
      <c r="F2812" s="39"/>
      <c r="K2812" s="5"/>
      <c r="L2812" s="5"/>
      <c r="M2812" s="5"/>
      <c r="N2812" s="5"/>
      <c r="O2812" s="5"/>
      <c r="P2812" s="5"/>
    </row>
    <row r="2813" spans="2:16" s="8" customFormat="1" ht="12.75" hidden="1" customHeight="1">
      <c r="B2813" s="37"/>
      <c r="C2813" s="37"/>
      <c r="D2813" s="38"/>
      <c r="E2813" s="38"/>
      <c r="F2813" s="39"/>
      <c r="K2813" s="5"/>
      <c r="L2813" s="5"/>
      <c r="M2813" s="5"/>
      <c r="N2813" s="5"/>
      <c r="O2813" s="5"/>
      <c r="P2813" s="5"/>
    </row>
    <row r="2814" spans="2:16" s="8" customFormat="1" ht="12.75" hidden="1" customHeight="1">
      <c r="B2814" s="37"/>
      <c r="C2814" s="37"/>
      <c r="D2814" s="38"/>
      <c r="E2814" s="38"/>
      <c r="F2814" s="39"/>
      <c r="K2814" s="5"/>
      <c r="L2814" s="5"/>
      <c r="M2814" s="5"/>
      <c r="N2814" s="5"/>
      <c r="O2814" s="5"/>
      <c r="P2814" s="5"/>
    </row>
    <row r="2815" spans="2:16" s="8" customFormat="1" ht="12.75" hidden="1" customHeight="1">
      <c r="B2815" s="37"/>
      <c r="C2815" s="37"/>
      <c r="D2815" s="38"/>
      <c r="E2815" s="38"/>
      <c r="F2815" s="39"/>
      <c r="K2815" s="5"/>
      <c r="L2815" s="5"/>
      <c r="M2815" s="5"/>
      <c r="N2815" s="5"/>
      <c r="O2815" s="5"/>
      <c r="P2815" s="5"/>
    </row>
    <row r="2816" spans="2:16" s="8" customFormat="1" ht="12.75" hidden="1" customHeight="1">
      <c r="B2816" s="37"/>
      <c r="C2816" s="37"/>
      <c r="D2816" s="38"/>
      <c r="E2816" s="38"/>
      <c r="F2816" s="39"/>
      <c r="K2816" s="5"/>
      <c r="L2816" s="5"/>
      <c r="M2816" s="5"/>
      <c r="N2816" s="5"/>
      <c r="O2816" s="5"/>
      <c r="P2816" s="5"/>
    </row>
    <row r="2817" spans="2:16" s="8" customFormat="1" ht="12.75" hidden="1" customHeight="1">
      <c r="B2817" s="37"/>
      <c r="C2817" s="37"/>
      <c r="D2817" s="38"/>
      <c r="E2817" s="38"/>
      <c r="F2817" s="39"/>
      <c r="K2817" s="5"/>
      <c r="L2817" s="5"/>
      <c r="M2817" s="5"/>
      <c r="N2817" s="5"/>
      <c r="O2817" s="5"/>
      <c r="P2817" s="5"/>
    </row>
    <row r="2818" spans="2:16" s="8" customFormat="1" ht="12.75" hidden="1" customHeight="1">
      <c r="B2818" s="37"/>
      <c r="C2818" s="37"/>
      <c r="D2818" s="38"/>
      <c r="E2818" s="38"/>
      <c r="F2818" s="39"/>
      <c r="K2818" s="5"/>
      <c r="L2818" s="5"/>
      <c r="M2818" s="5"/>
      <c r="N2818" s="5"/>
      <c r="O2818" s="5"/>
      <c r="P2818" s="5"/>
    </row>
    <row r="2819" spans="2:16" s="8" customFormat="1" ht="12.75" hidden="1" customHeight="1">
      <c r="B2819" s="37"/>
      <c r="C2819" s="37"/>
      <c r="D2819" s="38"/>
      <c r="E2819" s="38"/>
      <c r="F2819" s="39"/>
      <c r="K2819" s="5"/>
      <c r="L2819" s="5"/>
      <c r="M2819" s="5"/>
      <c r="N2819" s="5"/>
      <c r="O2819" s="5"/>
      <c r="P2819" s="5"/>
    </row>
    <row r="2820" spans="2:16" s="8" customFormat="1" ht="12.75" hidden="1" customHeight="1">
      <c r="B2820" s="37"/>
      <c r="C2820" s="37"/>
      <c r="D2820" s="38"/>
      <c r="E2820" s="38"/>
      <c r="F2820" s="39"/>
      <c r="K2820" s="5"/>
      <c r="L2820" s="5"/>
      <c r="M2820" s="5"/>
      <c r="N2820" s="5"/>
      <c r="O2820" s="5"/>
      <c r="P2820" s="5"/>
    </row>
    <row r="2821" spans="2:16" s="8" customFormat="1" ht="12.75" hidden="1" customHeight="1">
      <c r="B2821" s="37"/>
      <c r="C2821" s="37"/>
      <c r="D2821" s="38"/>
      <c r="E2821" s="38"/>
      <c r="F2821" s="39"/>
      <c r="K2821" s="5"/>
      <c r="L2821" s="5"/>
      <c r="M2821" s="5"/>
      <c r="N2821" s="5"/>
      <c r="O2821" s="5"/>
      <c r="P2821" s="5"/>
    </row>
    <row r="2822" spans="2:16" s="8" customFormat="1" ht="12.75" hidden="1" customHeight="1">
      <c r="B2822" s="37"/>
      <c r="C2822" s="37"/>
      <c r="D2822" s="38"/>
      <c r="E2822" s="38"/>
      <c r="F2822" s="39"/>
      <c r="K2822" s="5"/>
      <c r="L2822" s="5"/>
      <c r="M2822" s="5"/>
      <c r="N2822" s="5"/>
      <c r="O2822" s="5"/>
      <c r="P2822" s="5"/>
    </row>
    <row r="2823" spans="2:16" s="8" customFormat="1" ht="12.75" hidden="1" customHeight="1">
      <c r="B2823" s="37"/>
      <c r="C2823" s="37"/>
      <c r="D2823" s="38"/>
      <c r="E2823" s="38"/>
      <c r="F2823" s="39"/>
      <c r="K2823" s="5"/>
      <c r="L2823" s="5"/>
      <c r="M2823" s="5"/>
      <c r="N2823" s="5"/>
      <c r="O2823" s="5"/>
      <c r="P2823" s="5"/>
    </row>
    <row r="2824" spans="2:16" s="8" customFormat="1" ht="12.75" hidden="1" customHeight="1">
      <c r="B2824" s="37"/>
      <c r="C2824" s="37"/>
      <c r="D2824" s="38"/>
      <c r="E2824" s="38"/>
      <c r="F2824" s="39"/>
      <c r="K2824" s="5"/>
      <c r="L2824" s="5"/>
      <c r="M2824" s="5"/>
      <c r="N2824" s="5"/>
      <c r="O2824" s="5"/>
      <c r="P2824" s="5"/>
    </row>
    <row r="2825" spans="2:16" s="8" customFormat="1" ht="12.75" hidden="1" customHeight="1">
      <c r="B2825" s="37"/>
      <c r="C2825" s="37"/>
      <c r="D2825" s="38"/>
      <c r="E2825" s="38"/>
      <c r="F2825" s="39"/>
      <c r="K2825" s="5"/>
      <c r="L2825" s="5"/>
      <c r="M2825" s="5"/>
      <c r="N2825" s="5"/>
      <c r="O2825" s="5"/>
      <c r="P2825" s="5"/>
    </row>
    <row r="2826" spans="2:16" s="8" customFormat="1" ht="12.75" hidden="1" customHeight="1">
      <c r="B2826" s="37"/>
      <c r="C2826" s="37"/>
      <c r="D2826" s="38"/>
      <c r="E2826" s="38"/>
      <c r="F2826" s="39"/>
      <c r="K2826" s="5"/>
      <c r="L2826" s="5"/>
      <c r="M2826" s="5"/>
      <c r="N2826" s="5"/>
      <c r="O2826" s="5"/>
      <c r="P2826" s="5"/>
    </row>
    <row r="2827" spans="2:16" s="8" customFormat="1" ht="12.75" hidden="1" customHeight="1">
      <c r="B2827" s="37"/>
      <c r="C2827" s="37"/>
      <c r="D2827" s="38"/>
      <c r="E2827" s="38"/>
      <c r="F2827" s="39"/>
      <c r="K2827" s="5"/>
      <c r="L2827" s="5"/>
      <c r="M2827" s="5"/>
      <c r="N2827" s="5"/>
      <c r="O2827" s="5"/>
      <c r="P2827" s="5"/>
    </row>
    <row r="2828" spans="2:16" s="8" customFormat="1" ht="12.75" hidden="1" customHeight="1">
      <c r="B2828" s="37"/>
      <c r="C2828" s="37"/>
      <c r="D2828" s="38"/>
      <c r="E2828" s="38"/>
      <c r="F2828" s="39"/>
      <c r="K2828" s="5"/>
      <c r="L2828" s="5"/>
      <c r="M2828" s="5"/>
      <c r="N2828" s="5"/>
      <c r="O2828" s="5"/>
      <c r="P2828" s="5"/>
    </row>
    <row r="2829" spans="2:16" s="8" customFormat="1" ht="12.75" hidden="1" customHeight="1">
      <c r="B2829" s="37"/>
      <c r="C2829" s="37"/>
      <c r="D2829" s="38"/>
      <c r="E2829" s="38"/>
      <c r="F2829" s="39"/>
      <c r="K2829" s="5"/>
      <c r="L2829" s="5"/>
      <c r="M2829" s="5"/>
      <c r="N2829" s="5"/>
      <c r="O2829" s="5"/>
      <c r="P2829" s="5"/>
    </row>
    <row r="2830" spans="2:16" s="8" customFormat="1" ht="12.75" hidden="1" customHeight="1">
      <c r="B2830" s="37"/>
      <c r="C2830" s="37"/>
      <c r="D2830" s="38"/>
      <c r="E2830" s="38"/>
      <c r="F2830" s="39"/>
      <c r="K2830" s="5"/>
      <c r="L2830" s="5"/>
      <c r="M2830" s="5"/>
      <c r="N2830" s="5"/>
      <c r="O2830" s="5"/>
      <c r="P2830" s="5"/>
    </row>
    <row r="2831" spans="2:16" s="8" customFormat="1" ht="12.75" hidden="1" customHeight="1">
      <c r="B2831" s="37"/>
      <c r="C2831" s="37"/>
      <c r="D2831" s="38"/>
      <c r="E2831" s="38"/>
      <c r="F2831" s="39"/>
      <c r="K2831" s="5"/>
      <c r="L2831" s="5"/>
      <c r="M2831" s="5"/>
      <c r="N2831" s="5"/>
      <c r="O2831" s="5"/>
      <c r="P2831" s="5"/>
    </row>
    <row r="2832" spans="2:16" s="8" customFormat="1" ht="12.75" hidden="1" customHeight="1">
      <c r="B2832" s="37"/>
      <c r="C2832" s="37"/>
      <c r="D2832" s="38"/>
      <c r="E2832" s="38"/>
      <c r="F2832" s="39"/>
      <c r="K2832" s="5"/>
      <c r="L2832" s="5"/>
      <c r="M2832" s="5"/>
      <c r="N2832" s="5"/>
      <c r="O2832" s="5"/>
      <c r="P2832" s="5"/>
    </row>
    <row r="2833" spans="2:16" s="8" customFormat="1" ht="12.75" hidden="1" customHeight="1">
      <c r="B2833" s="37"/>
      <c r="C2833" s="37"/>
      <c r="D2833" s="38"/>
      <c r="E2833" s="38"/>
      <c r="F2833" s="39"/>
      <c r="K2833" s="5"/>
      <c r="L2833" s="5"/>
      <c r="M2833" s="5"/>
      <c r="N2833" s="5"/>
      <c r="O2833" s="5"/>
      <c r="P2833" s="5"/>
    </row>
    <row r="2834" spans="2:16" s="8" customFormat="1" ht="12.75" hidden="1" customHeight="1">
      <c r="B2834" s="37"/>
      <c r="C2834" s="37"/>
      <c r="D2834" s="38"/>
      <c r="E2834" s="38"/>
      <c r="F2834" s="39"/>
      <c r="K2834" s="5"/>
      <c r="L2834" s="5"/>
      <c r="M2834" s="5"/>
      <c r="N2834" s="5"/>
      <c r="O2834" s="5"/>
      <c r="P2834" s="5"/>
    </row>
    <row r="2835" spans="2:16" s="8" customFormat="1" ht="12.75" hidden="1" customHeight="1">
      <c r="B2835" s="37"/>
      <c r="C2835" s="37"/>
      <c r="D2835" s="38"/>
      <c r="E2835" s="38"/>
      <c r="F2835" s="39"/>
      <c r="K2835" s="5"/>
      <c r="L2835" s="5"/>
      <c r="M2835" s="5"/>
      <c r="N2835" s="5"/>
      <c r="O2835" s="5"/>
      <c r="P2835" s="5"/>
    </row>
    <row r="2836" spans="2:16" s="8" customFormat="1" ht="12.75" hidden="1" customHeight="1">
      <c r="B2836" s="37"/>
      <c r="C2836" s="37"/>
      <c r="D2836" s="38"/>
      <c r="E2836" s="38"/>
      <c r="F2836" s="39"/>
      <c r="K2836" s="5"/>
      <c r="L2836" s="5"/>
      <c r="M2836" s="5"/>
      <c r="N2836" s="5"/>
      <c r="O2836" s="5"/>
      <c r="P2836" s="5"/>
    </row>
    <row r="2837" spans="2:16" s="8" customFormat="1" ht="12.75" hidden="1" customHeight="1">
      <c r="B2837" s="37"/>
      <c r="C2837" s="37"/>
      <c r="D2837" s="38"/>
      <c r="E2837" s="38"/>
      <c r="F2837" s="39"/>
      <c r="K2837" s="5"/>
      <c r="L2837" s="5"/>
      <c r="M2837" s="5"/>
      <c r="N2837" s="5"/>
      <c r="O2837" s="5"/>
      <c r="P2837" s="5"/>
    </row>
    <row r="2838" spans="2:16" s="8" customFormat="1" ht="12.75" hidden="1" customHeight="1">
      <c r="B2838" s="37"/>
      <c r="C2838" s="37"/>
      <c r="D2838" s="38"/>
      <c r="E2838" s="38"/>
      <c r="F2838" s="39"/>
      <c r="K2838" s="5"/>
      <c r="L2838" s="5"/>
      <c r="M2838" s="5"/>
      <c r="N2838" s="5"/>
      <c r="O2838" s="5"/>
      <c r="P2838" s="5"/>
    </row>
    <row r="2839" spans="2:16" s="8" customFormat="1" ht="12.75" hidden="1" customHeight="1">
      <c r="B2839" s="37"/>
      <c r="C2839" s="37"/>
      <c r="D2839" s="38"/>
      <c r="E2839" s="38"/>
      <c r="F2839" s="39"/>
      <c r="K2839" s="5"/>
      <c r="L2839" s="5"/>
      <c r="M2839" s="5"/>
      <c r="N2839" s="5"/>
      <c r="O2839" s="5"/>
      <c r="P2839" s="5"/>
    </row>
    <row r="2840" spans="2:16" s="8" customFormat="1" ht="12.75" hidden="1" customHeight="1">
      <c r="B2840" s="37"/>
      <c r="C2840" s="37"/>
      <c r="D2840" s="38"/>
      <c r="E2840" s="38"/>
      <c r="F2840" s="39"/>
      <c r="K2840" s="5"/>
      <c r="L2840" s="5"/>
      <c r="M2840" s="5"/>
      <c r="N2840" s="5"/>
      <c r="O2840" s="5"/>
      <c r="P2840" s="5"/>
    </row>
    <row r="2841" spans="2:16" s="8" customFormat="1" ht="12.75" hidden="1" customHeight="1">
      <c r="B2841" s="37"/>
      <c r="C2841" s="37"/>
      <c r="D2841" s="38"/>
      <c r="E2841" s="38"/>
      <c r="F2841" s="39"/>
      <c r="K2841" s="5"/>
      <c r="L2841" s="5"/>
      <c r="M2841" s="5"/>
      <c r="N2841" s="5"/>
      <c r="O2841" s="5"/>
      <c r="P2841" s="5"/>
    </row>
    <row r="2842" spans="2:16" s="8" customFormat="1" ht="12.75" hidden="1" customHeight="1">
      <c r="B2842" s="37"/>
      <c r="C2842" s="37"/>
      <c r="D2842" s="38"/>
      <c r="E2842" s="38"/>
      <c r="F2842" s="39"/>
      <c r="K2842" s="5"/>
      <c r="L2842" s="5"/>
      <c r="M2842" s="5"/>
      <c r="N2842" s="5"/>
      <c r="O2842" s="5"/>
      <c r="P2842" s="5"/>
    </row>
    <row r="2843" spans="2:16" s="8" customFormat="1" ht="12.75" hidden="1" customHeight="1">
      <c r="B2843" s="37"/>
      <c r="C2843" s="37"/>
      <c r="D2843" s="38"/>
      <c r="E2843" s="38"/>
      <c r="F2843" s="39"/>
      <c r="K2843" s="5"/>
      <c r="L2843" s="5"/>
      <c r="M2843" s="5"/>
      <c r="N2843" s="5"/>
      <c r="O2843" s="5"/>
      <c r="P2843" s="5"/>
    </row>
    <row r="2844" spans="2:16" s="8" customFormat="1" ht="12.75" hidden="1" customHeight="1">
      <c r="B2844" s="37"/>
      <c r="C2844" s="37"/>
      <c r="D2844" s="38"/>
      <c r="E2844" s="38"/>
      <c r="F2844" s="39"/>
      <c r="K2844" s="5"/>
      <c r="L2844" s="5"/>
      <c r="M2844" s="5"/>
      <c r="N2844" s="5"/>
      <c r="O2844" s="5"/>
      <c r="P2844" s="5"/>
    </row>
    <row r="2845" spans="2:16" s="8" customFormat="1" ht="12.75" hidden="1" customHeight="1">
      <c r="B2845" s="37"/>
      <c r="C2845" s="37"/>
      <c r="D2845" s="38"/>
      <c r="E2845" s="38"/>
      <c r="F2845" s="39"/>
      <c r="K2845" s="5"/>
      <c r="L2845" s="5"/>
      <c r="M2845" s="5"/>
      <c r="N2845" s="5"/>
      <c r="O2845" s="5"/>
      <c r="P2845" s="5"/>
    </row>
    <row r="2846" spans="2:16" s="8" customFormat="1" ht="12.75" hidden="1" customHeight="1">
      <c r="B2846" s="37"/>
      <c r="C2846" s="37"/>
      <c r="D2846" s="38"/>
      <c r="E2846" s="38"/>
      <c r="F2846" s="39"/>
      <c r="K2846" s="5"/>
      <c r="L2846" s="5"/>
      <c r="M2846" s="5"/>
      <c r="N2846" s="5"/>
      <c r="O2846" s="5"/>
      <c r="P2846" s="5"/>
    </row>
    <row r="2847" spans="2:16" s="8" customFormat="1" ht="12.75" hidden="1" customHeight="1">
      <c r="B2847" s="37"/>
      <c r="C2847" s="37"/>
      <c r="D2847" s="38"/>
      <c r="E2847" s="38"/>
      <c r="F2847" s="39"/>
      <c r="K2847" s="5"/>
      <c r="L2847" s="5"/>
      <c r="M2847" s="5"/>
      <c r="N2847" s="5"/>
      <c r="O2847" s="5"/>
      <c r="P2847" s="5"/>
    </row>
    <row r="2848" spans="2:16" s="8" customFormat="1" ht="12.75" hidden="1" customHeight="1">
      <c r="B2848" s="37"/>
      <c r="C2848" s="37"/>
      <c r="D2848" s="38"/>
      <c r="E2848" s="38"/>
      <c r="F2848" s="39"/>
      <c r="K2848" s="5"/>
      <c r="L2848" s="5"/>
      <c r="M2848" s="5"/>
      <c r="N2848" s="5"/>
      <c r="O2848" s="5"/>
      <c r="P2848" s="5"/>
    </row>
    <row r="2849" spans="2:16" s="8" customFormat="1" ht="12.75" hidden="1" customHeight="1">
      <c r="B2849" s="37"/>
      <c r="C2849" s="37"/>
      <c r="D2849" s="38"/>
      <c r="E2849" s="38"/>
      <c r="F2849" s="39"/>
      <c r="K2849" s="5"/>
      <c r="L2849" s="5"/>
      <c r="M2849" s="5"/>
      <c r="N2849" s="5"/>
      <c r="O2849" s="5"/>
      <c r="P2849" s="5"/>
    </row>
    <row r="2850" spans="2:16" s="8" customFormat="1" ht="12.75" hidden="1" customHeight="1">
      <c r="B2850" s="37"/>
      <c r="C2850" s="37"/>
      <c r="D2850" s="38"/>
      <c r="E2850" s="38"/>
      <c r="F2850" s="39"/>
      <c r="K2850" s="5"/>
      <c r="L2850" s="5"/>
      <c r="M2850" s="5"/>
      <c r="N2850" s="5"/>
      <c r="O2850" s="5"/>
      <c r="P2850" s="5"/>
    </row>
    <row r="2851" spans="2:16" s="8" customFormat="1" ht="12.75" hidden="1" customHeight="1">
      <c r="B2851" s="37"/>
      <c r="C2851" s="37"/>
      <c r="D2851" s="38"/>
      <c r="E2851" s="38"/>
      <c r="F2851" s="39"/>
      <c r="K2851" s="5"/>
      <c r="L2851" s="5"/>
      <c r="M2851" s="5"/>
      <c r="N2851" s="5"/>
      <c r="O2851" s="5"/>
      <c r="P2851" s="5"/>
    </row>
    <row r="2852" spans="2:16" s="8" customFormat="1" ht="12.75" hidden="1" customHeight="1">
      <c r="B2852" s="37"/>
      <c r="C2852" s="37"/>
      <c r="D2852" s="38"/>
      <c r="E2852" s="38"/>
      <c r="F2852" s="39"/>
      <c r="K2852" s="5"/>
      <c r="L2852" s="5"/>
      <c r="M2852" s="5"/>
      <c r="N2852" s="5"/>
      <c r="O2852" s="5"/>
      <c r="P2852" s="5"/>
    </row>
    <row r="2853" spans="2:16" s="8" customFormat="1" ht="12.75" hidden="1" customHeight="1">
      <c r="B2853" s="37"/>
      <c r="C2853" s="37"/>
      <c r="D2853" s="38"/>
      <c r="E2853" s="38"/>
      <c r="F2853" s="39"/>
      <c r="K2853" s="5"/>
      <c r="L2853" s="5"/>
      <c r="M2853" s="5"/>
      <c r="N2853" s="5"/>
      <c r="O2853" s="5"/>
      <c r="P2853" s="5"/>
    </row>
    <row r="2854" spans="2:16" s="8" customFormat="1" ht="12.75" hidden="1" customHeight="1">
      <c r="B2854" s="37"/>
      <c r="C2854" s="37"/>
      <c r="D2854" s="38"/>
      <c r="E2854" s="38"/>
      <c r="F2854" s="39"/>
      <c r="K2854" s="5"/>
      <c r="L2854" s="5"/>
      <c r="M2854" s="5"/>
      <c r="N2854" s="5"/>
      <c r="O2854" s="5"/>
      <c r="P2854" s="5"/>
    </row>
    <row r="2855" spans="2:16" s="8" customFormat="1" ht="12.75" hidden="1" customHeight="1">
      <c r="B2855" s="37"/>
      <c r="C2855" s="37"/>
      <c r="D2855" s="38"/>
      <c r="E2855" s="38"/>
      <c r="F2855" s="39"/>
      <c r="K2855" s="5"/>
      <c r="L2855" s="5"/>
      <c r="M2855" s="5"/>
      <c r="N2855" s="5"/>
      <c r="O2855" s="5"/>
      <c r="P2855" s="5"/>
    </row>
    <row r="2856" spans="2:16" s="8" customFormat="1" ht="12.75" hidden="1" customHeight="1">
      <c r="B2856" s="37"/>
      <c r="C2856" s="37"/>
      <c r="D2856" s="38"/>
      <c r="E2856" s="38"/>
      <c r="F2856" s="39"/>
      <c r="K2856" s="5"/>
      <c r="L2856" s="5"/>
      <c r="M2856" s="5"/>
      <c r="N2856" s="5"/>
      <c r="O2856" s="5"/>
      <c r="P2856" s="5"/>
    </row>
    <row r="2857" spans="2:16" s="8" customFormat="1" ht="12.75" hidden="1" customHeight="1">
      <c r="B2857" s="37"/>
      <c r="C2857" s="37"/>
      <c r="D2857" s="38"/>
      <c r="E2857" s="38"/>
      <c r="F2857" s="39"/>
      <c r="K2857" s="5"/>
      <c r="L2857" s="5"/>
      <c r="M2857" s="5"/>
      <c r="N2857" s="5"/>
      <c r="O2857" s="5"/>
      <c r="P2857" s="5"/>
    </row>
    <row r="2858" spans="2:16" s="8" customFormat="1" ht="12.75" hidden="1" customHeight="1">
      <c r="B2858" s="37"/>
      <c r="C2858" s="37"/>
      <c r="D2858" s="38"/>
      <c r="E2858" s="38"/>
      <c r="F2858" s="39"/>
      <c r="K2858" s="5"/>
      <c r="L2858" s="5"/>
      <c r="M2858" s="5"/>
      <c r="N2858" s="5"/>
      <c r="O2858" s="5"/>
      <c r="P2858" s="5"/>
    </row>
    <row r="2859" spans="2:16" s="8" customFormat="1" ht="12.75" hidden="1" customHeight="1">
      <c r="B2859" s="37"/>
      <c r="C2859" s="37"/>
      <c r="D2859" s="38"/>
      <c r="E2859" s="38"/>
      <c r="F2859" s="39"/>
      <c r="K2859" s="5"/>
      <c r="L2859" s="5"/>
      <c r="M2859" s="5"/>
      <c r="N2859" s="5"/>
      <c r="O2859" s="5"/>
      <c r="P2859" s="5"/>
    </row>
    <row r="2860" spans="2:16" s="8" customFormat="1" ht="12.75" hidden="1" customHeight="1">
      <c r="B2860" s="37"/>
      <c r="C2860" s="37"/>
      <c r="D2860" s="38"/>
      <c r="E2860" s="38"/>
      <c r="F2860" s="39"/>
      <c r="K2860" s="5"/>
      <c r="L2860" s="5"/>
      <c r="M2860" s="5"/>
      <c r="N2860" s="5"/>
      <c r="O2860" s="5"/>
      <c r="P2860" s="5"/>
    </row>
    <row r="2861" spans="2:16" s="8" customFormat="1" ht="12.75" hidden="1" customHeight="1">
      <c r="B2861" s="37"/>
      <c r="C2861" s="37"/>
      <c r="D2861" s="38"/>
      <c r="E2861" s="38"/>
      <c r="F2861" s="39"/>
      <c r="K2861" s="5"/>
      <c r="L2861" s="5"/>
      <c r="M2861" s="5"/>
      <c r="N2861" s="5"/>
      <c r="O2861" s="5"/>
      <c r="P2861" s="5"/>
    </row>
    <row r="2862" spans="2:16" s="8" customFormat="1" ht="12.75" hidden="1" customHeight="1">
      <c r="B2862" s="37"/>
      <c r="C2862" s="37"/>
      <c r="D2862" s="38"/>
      <c r="E2862" s="38"/>
      <c r="F2862" s="39"/>
      <c r="K2862" s="5"/>
      <c r="L2862" s="5"/>
      <c r="M2862" s="5"/>
      <c r="N2862" s="5"/>
      <c r="O2862" s="5"/>
      <c r="P2862" s="5"/>
    </row>
    <row r="2863" spans="2:16" s="8" customFormat="1" ht="12.75" hidden="1" customHeight="1">
      <c r="B2863" s="37"/>
      <c r="C2863" s="37"/>
      <c r="D2863" s="38"/>
      <c r="E2863" s="38"/>
      <c r="F2863" s="39"/>
      <c r="K2863" s="5"/>
      <c r="L2863" s="5"/>
      <c r="M2863" s="5"/>
      <c r="N2863" s="5"/>
      <c r="O2863" s="5"/>
      <c r="P2863" s="5"/>
    </row>
    <row r="2864" spans="2:16" s="8" customFormat="1" ht="12.75" hidden="1" customHeight="1">
      <c r="B2864" s="37"/>
      <c r="C2864" s="37"/>
      <c r="D2864" s="38"/>
      <c r="E2864" s="38"/>
      <c r="F2864" s="39"/>
      <c r="K2864" s="5"/>
      <c r="L2864" s="5"/>
      <c r="M2864" s="5"/>
      <c r="N2864" s="5"/>
      <c r="O2864" s="5"/>
      <c r="P2864" s="5"/>
    </row>
    <row r="2865" spans="2:16" s="8" customFormat="1" ht="12.75" hidden="1" customHeight="1">
      <c r="B2865" s="37"/>
      <c r="C2865" s="37"/>
      <c r="D2865" s="38"/>
      <c r="E2865" s="38"/>
      <c r="F2865" s="39"/>
      <c r="K2865" s="5"/>
      <c r="L2865" s="5"/>
      <c r="M2865" s="5"/>
      <c r="N2865" s="5"/>
      <c r="O2865" s="5"/>
      <c r="P2865" s="5"/>
    </row>
    <row r="2866" spans="2:16" s="8" customFormat="1" ht="12.75" hidden="1" customHeight="1">
      <c r="B2866" s="37"/>
      <c r="C2866" s="37"/>
      <c r="D2866" s="38"/>
      <c r="E2866" s="38"/>
      <c r="F2866" s="39"/>
      <c r="K2866" s="5"/>
      <c r="L2866" s="5"/>
      <c r="M2866" s="5"/>
      <c r="N2866" s="5"/>
      <c r="O2866" s="5"/>
      <c r="P2866" s="5"/>
    </row>
    <row r="2867" spans="2:16" s="8" customFormat="1" ht="12.75" hidden="1" customHeight="1">
      <c r="B2867" s="37"/>
      <c r="C2867" s="37"/>
      <c r="D2867" s="38"/>
      <c r="E2867" s="38"/>
      <c r="F2867" s="39"/>
      <c r="K2867" s="5"/>
      <c r="L2867" s="5"/>
      <c r="M2867" s="5"/>
      <c r="N2867" s="5"/>
      <c r="O2867" s="5"/>
      <c r="P2867" s="5"/>
    </row>
    <row r="2868" spans="2:16" s="8" customFormat="1" ht="12.75" hidden="1" customHeight="1">
      <c r="B2868" s="37"/>
      <c r="C2868" s="37"/>
      <c r="D2868" s="38"/>
      <c r="E2868" s="38"/>
      <c r="F2868" s="39"/>
      <c r="K2868" s="5"/>
      <c r="L2868" s="5"/>
      <c r="M2868" s="5"/>
      <c r="N2868" s="5"/>
      <c r="O2868" s="5"/>
      <c r="P2868" s="5"/>
    </row>
    <row r="2869" spans="2:16" s="8" customFormat="1" ht="12.75" hidden="1" customHeight="1">
      <c r="B2869" s="37"/>
      <c r="C2869" s="37"/>
      <c r="D2869" s="38"/>
      <c r="E2869" s="38"/>
      <c r="F2869" s="39"/>
      <c r="K2869" s="5"/>
      <c r="L2869" s="5"/>
      <c r="M2869" s="5"/>
      <c r="N2869" s="5"/>
      <c r="O2869" s="5"/>
      <c r="P2869" s="5"/>
    </row>
    <row r="2870" spans="2:16" s="8" customFormat="1" ht="12.75" hidden="1" customHeight="1">
      <c r="B2870" s="37"/>
      <c r="C2870" s="37"/>
      <c r="D2870" s="38"/>
      <c r="E2870" s="38"/>
      <c r="F2870" s="39"/>
      <c r="K2870" s="5"/>
      <c r="L2870" s="5"/>
      <c r="M2870" s="5"/>
      <c r="N2870" s="5"/>
      <c r="O2870" s="5"/>
      <c r="P2870" s="5"/>
    </row>
    <row r="2871" spans="2:16" s="8" customFormat="1" ht="12.75" hidden="1" customHeight="1">
      <c r="B2871" s="37"/>
      <c r="C2871" s="37"/>
      <c r="D2871" s="38"/>
      <c r="E2871" s="38"/>
      <c r="F2871" s="39"/>
      <c r="K2871" s="5"/>
      <c r="L2871" s="5"/>
      <c r="M2871" s="5"/>
      <c r="N2871" s="5"/>
      <c r="O2871" s="5"/>
      <c r="P2871" s="5"/>
    </row>
    <row r="2872" spans="2:16" s="8" customFormat="1" ht="12.75" hidden="1" customHeight="1">
      <c r="B2872" s="37"/>
      <c r="C2872" s="37"/>
      <c r="D2872" s="38"/>
      <c r="E2872" s="38"/>
      <c r="F2872" s="39"/>
      <c r="K2872" s="5"/>
      <c r="L2872" s="5"/>
      <c r="M2872" s="5"/>
      <c r="N2872" s="5"/>
      <c r="O2872" s="5"/>
      <c r="P2872" s="5"/>
    </row>
    <row r="2873" spans="2:16" s="8" customFormat="1" ht="12.75" hidden="1" customHeight="1">
      <c r="B2873" s="37"/>
      <c r="C2873" s="37"/>
      <c r="D2873" s="38"/>
      <c r="E2873" s="38"/>
      <c r="F2873" s="39"/>
      <c r="K2873" s="5"/>
      <c r="L2873" s="5"/>
      <c r="M2873" s="5"/>
      <c r="N2873" s="5"/>
      <c r="O2873" s="5"/>
      <c r="P2873" s="5"/>
    </row>
    <row r="2874" spans="2:16" s="8" customFormat="1" ht="12.75" hidden="1" customHeight="1">
      <c r="B2874" s="37"/>
      <c r="C2874" s="37"/>
      <c r="D2874" s="38"/>
      <c r="E2874" s="38"/>
      <c r="F2874" s="39"/>
      <c r="K2874" s="5"/>
      <c r="L2874" s="5"/>
      <c r="M2874" s="5"/>
      <c r="N2874" s="5"/>
      <c r="O2874" s="5"/>
      <c r="P2874" s="5"/>
    </row>
    <row r="2875" spans="2:16" s="8" customFormat="1" ht="12.75" hidden="1" customHeight="1">
      <c r="B2875" s="37"/>
      <c r="C2875" s="37"/>
      <c r="D2875" s="38"/>
      <c r="E2875" s="38"/>
      <c r="F2875" s="39"/>
      <c r="K2875" s="5"/>
      <c r="L2875" s="5"/>
      <c r="M2875" s="5"/>
      <c r="N2875" s="5"/>
      <c r="O2875" s="5"/>
      <c r="P2875" s="5"/>
    </row>
    <row r="2876" spans="2:16" s="8" customFormat="1" ht="12.75" hidden="1" customHeight="1">
      <c r="B2876" s="37"/>
      <c r="C2876" s="37"/>
      <c r="D2876" s="38"/>
      <c r="E2876" s="38"/>
      <c r="F2876" s="39"/>
      <c r="K2876" s="5"/>
      <c r="L2876" s="5"/>
      <c r="M2876" s="5"/>
      <c r="N2876" s="5"/>
      <c r="O2876" s="5"/>
      <c r="P2876" s="5"/>
    </row>
    <row r="2877" spans="2:16" s="8" customFormat="1" ht="12.75" hidden="1" customHeight="1">
      <c r="B2877" s="37"/>
      <c r="C2877" s="37"/>
      <c r="D2877" s="38"/>
      <c r="E2877" s="38"/>
      <c r="F2877" s="39"/>
      <c r="K2877" s="5"/>
      <c r="L2877" s="5"/>
      <c r="M2877" s="5"/>
      <c r="N2877" s="5"/>
      <c r="O2877" s="5"/>
      <c r="P2877" s="5"/>
    </row>
    <row r="2878" spans="2:16" s="8" customFormat="1" ht="12.75" hidden="1" customHeight="1">
      <c r="B2878" s="37"/>
      <c r="C2878" s="37"/>
      <c r="D2878" s="38"/>
      <c r="E2878" s="38"/>
      <c r="F2878" s="39"/>
      <c r="K2878" s="5"/>
      <c r="L2878" s="5"/>
      <c r="M2878" s="5"/>
      <c r="N2878" s="5"/>
      <c r="O2878" s="5"/>
      <c r="P2878" s="5"/>
    </row>
    <row r="2879" spans="2:16" s="8" customFormat="1" ht="12.75" hidden="1" customHeight="1">
      <c r="B2879" s="37"/>
      <c r="C2879" s="37"/>
      <c r="D2879" s="38"/>
      <c r="E2879" s="38"/>
      <c r="F2879" s="39"/>
      <c r="K2879" s="5"/>
      <c r="L2879" s="5"/>
      <c r="M2879" s="5"/>
      <c r="N2879" s="5"/>
      <c r="O2879" s="5"/>
      <c r="P2879" s="5"/>
    </row>
    <row r="2880" spans="2:16" s="8" customFormat="1" ht="12.75" hidden="1" customHeight="1">
      <c r="B2880" s="37"/>
      <c r="C2880" s="37"/>
      <c r="D2880" s="38"/>
      <c r="E2880" s="38"/>
      <c r="F2880" s="39"/>
      <c r="K2880" s="5"/>
      <c r="L2880" s="5"/>
      <c r="M2880" s="5"/>
      <c r="N2880" s="5"/>
      <c r="O2880" s="5"/>
      <c r="P2880" s="5"/>
    </row>
    <row r="2881" spans="2:16" s="8" customFormat="1" ht="12.75" hidden="1" customHeight="1">
      <c r="B2881" s="37"/>
      <c r="C2881" s="37"/>
      <c r="D2881" s="38"/>
      <c r="E2881" s="38"/>
      <c r="F2881" s="39"/>
      <c r="K2881" s="5"/>
      <c r="L2881" s="5"/>
      <c r="M2881" s="5"/>
      <c r="N2881" s="5"/>
      <c r="O2881" s="5"/>
      <c r="P2881" s="5"/>
    </row>
    <row r="2882" spans="2:16" s="8" customFormat="1" ht="12.75" hidden="1" customHeight="1">
      <c r="B2882" s="37"/>
      <c r="C2882" s="37"/>
      <c r="D2882" s="38"/>
      <c r="E2882" s="38"/>
      <c r="F2882" s="39"/>
      <c r="K2882" s="5"/>
      <c r="L2882" s="5"/>
      <c r="M2882" s="5"/>
      <c r="N2882" s="5"/>
      <c r="O2882" s="5"/>
      <c r="P2882" s="5"/>
    </row>
    <row r="2883" spans="2:16" s="8" customFormat="1" ht="12.75" hidden="1" customHeight="1">
      <c r="B2883" s="37"/>
      <c r="C2883" s="37"/>
      <c r="D2883" s="38"/>
      <c r="E2883" s="38"/>
      <c r="F2883" s="39"/>
      <c r="K2883" s="5"/>
      <c r="L2883" s="5"/>
      <c r="M2883" s="5"/>
      <c r="N2883" s="5"/>
      <c r="O2883" s="5"/>
      <c r="P2883" s="5"/>
    </row>
    <row r="2884" spans="2:16" s="8" customFormat="1" ht="12.75" hidden="1" customHeight="1">
      <c r="B2884" s="37"/>
      <c r="C2884" s="37"/>
      <c r="D2884" s="38"/>
      <c r="E2884" s="38"/>
      <c r="F2884" s="39"/>
      <c r="K2884" s="5"/>
      <c r="L2884" s="5"/>
      <c r="M2884" s="5"/>
      <c r="N2884" s="5"/>
      <c r="O2884" s="5"/>
      <c r="P2884" s="5"/>
    </row>
    <row r="2885" spans="2:16" s="8" customFormat="1" ht="12.75" hidden="1" customHeight="1">
      <c r="B2885" s="37"/>
      <c r="C2885" s="37"/>
      <c r="D2885" s="38"/>
      <c r="E2885" s="38"/>
      <c r="F2885" s="39"/>
      <c r="K2885" s="5"/>
      <c r="L2885" s="5"/>
      <c r="M2885" s="5"/>
      <c r="N2885" s="5"/>
      <c r="O2885" s="5"/>
      <c r="P2885" s="5"/>
    </row>
    <row r="2886" spans="2:16" s="8" customFormat="1" ht="12.75" hidden="1" customHeight="1">
      <c r="B2886" s="37"/>
      <c r="C2886" s="37"/>
      <c r="D2886" s="38"/>
      <c r="E2886" s="38"/>
      <c r="F2886" s="39"/>
      <c r="K2886" s="5"/>
      <c r="L2886" s="5"/>
      <c r="M2886" s="5"/>
      <c r="N2886" s="5"/>
      <c r="O2886" s="5"/>
      <c r="P2886" s="5"/>
    </row>
    <row r="2887" spans="2:16" s="8" customFormat="1" ht="12.75" hidden="1" customHeight="1">
      <c r="B2887" s="37"/>
      <c r="C2887" s="37"/>
      <c r="D2887" s="38"/>
      <c r="E2887" s="38"/>
      <c r="F2887" s="39"/>
      <c r="K2887" s="5"/>
      <c r="L2887" s="5"/>
      <c r="M2887" s="5"/>
      <c r="N2887" s="5"/>
      <c r="O2887" s="5"/>
      <c r="P2887" s="5"/>
    </row>
    <row r="2888" spans="2:16" s="8" customFormat="1" ht="12.75" hidden="1" customHeight="1">
      <c r="B2888" s="37"/>
      <c r="C2888" s="37"/>
      <c r="D2888" s="38"/>
      <c r="E2888" s="38"/>
      <c r="F2888" s="39"/>
      <c r="K2888" s="5"/>
      <c r="L2888" s="5"/>
      <c r="M2888" s="5"/>
      <c r="N2888" s="5"/>
      <c r="O2888" s="5"/>
      <c r="P2888" s="5"/>
    </row>
    <row r="2889" spans="2:16" s="8" customFormat="1" ht="12.75" hidden="1" customHeight="1">
      <c r="B2889" s="37"/>
      <c r="C2889" s="37"/>
      <c r="D2889" s="38"/>
      <c r="E2889" s="38"/>
      <c r="F2889" s="39"/>
      <c r="K2889" s="5"/>
      <c r="L2889" s="5"/>
      <c r="M2889" s="5"/>
      <c r="N2889" s="5"/>
      <c r="O2889" s="5"/>
      <c r="P2889" s="5"/>
    </row>
    <row r="2890" spans="2:16" s="8" customFormat="1" ht="12.75" hidden="1" customHeight="1">
      <c r="B2890" s="37"/>
      <c r="C2890" s="37"/>
      <c r="D2890" s="38"/>
      <c r="E2890" s="38"/>
      <c r="F2890" s="39"/>
      <c r="K2890" s="5"/>
      <c r="L2890" s="5"/>
      <c r="M2890" s="5"/>
      <c r="N2890" s="5"/>
      <c r="O2890" s="5"/>
      <c r="P2890" s="5"/>
    </row>
    <row r="2891" spans="2:16" s="8" customFormat="1" ht="12.75" hidden="1" customHeight="1">
      <c r="B2891" s="37"/>
      <c r="C2891" s="37"/>
      <c r="D2891" s="38"/>
      <c r="E2891" s="38"/>
      <c r="F2891" s="39"/>
      <c r="K2891" s="5"/>
      <c r="L2891" s="5"/>
      <c r="M2891" s="5"/>
      <c r="N2891" s="5"/>
      <c r="O2891" s="5"/>
      <c r="P2891" s="5"/>
    </row>
    <row r="2892" spans="2:16" s="8" customFormat="1" ht="12.75" hidden="1" customHeight="1">
      <c r="B2892" s="37"/>
      <c r="C2892" s="37"/>
      <c r="D2892" s="38"/>
      <c r="E2892" s="38"/>
      <c r="F2892" s="39"/>
      <c r="K2892" s="5"/>
      <c r="L2892" s="5"/>
      <c r="M2892" s="5"/>
      <c r="N2892" s="5"/>
      <c r="O2892" s="5"/>
      <c r="P2892" s="5"/>
    </row>
    <row r="2893" spans="2:16" s="8" customFormat="1" ht="12.75" hidden="1" customHeight="1">
      <c r="B2893" s="37"/>
      <c r="C2893" s="37"/>
      <c r="D2893" s="38"/>
      <c r="E2893" s="38"/>
      <c r="F2893" s="39"/>
      <c r="K2893" s="5"/>
      <c r="L2893" s="5"/>
      <c r="M2893" s="5"/>
      <c r="N2893" s="5"/>
      <c r="O2893" s="5"/>
      <c r="P2893" s="5"/>
    </row>
    <row r="2894" spans="2:16" s="8" customFormat="1" ht="12.75" hidden="1" customHeight="1">
      <c r="B2894" s="37"/>
      <c r="C2894" s="37"/>
      <c r="D2894" s="38"/>
      <c r="E2894" s="38"/>
      <c r="F2894" s="39"/>
      <c r="K2894" s="5"/>
      <c r="L2894" s="5"/>
      <c r="M2894" s="5"/>
      <c r="N2894" s="5"/>
      <c r="O2894" s="5"/>
      <c r="P2894" s="5"/>
    </row>
    <row r="2895" spans="2:16" s="8" customFormat="1" ht="12.75" hidden="1" customHeight="1">
      <c r="B2895" s="37"/>
      <c r="C2895" s="37"/>
      <c r="D2895" s="38"/>
      <c r="E2895" s="38"/>
      <c r="F2895" s="39"/>
      <c r="K2895" s="5"/>
      <c r="L2895" s="5"/>
      <c r="M2895" s="5"/>
      <c r="N2895" s="5"/>
      <c r="O2895" s="5"/>
      <c r="P2895" s="5"/>
    </row>
    <row r="2896" spans="2:16" s="8" customFormat="1" ht="12.75" hidden="1" customHeight="1">
      <c r="B2896" s="37"/>
      <c r="C2896" s="37"/>
      <c r="D2896" s="38"/>
      <c r="E2896" s="38"/>
      <c r="F2896" s="39"/>
      <c r="K2896" s="5"/>
      <c r="L2896" s="5"/>
      <c r="M2896" s="5"/>
      <c r="N2896" s="5"/>
      <c r="O2896" s="5"/>
      <c r="P2896" s="5"/>
    </row>
    <row r="2897" spans="2:16" s="8" customFormat="1" ht="12.75" hidden="1" customHeight="1">
      <c r="B2897" s="37"/>
      <c r="C2897" s="37"/>
      <c r="D2897" s="38"/>
      <c r="E2897" s="38"/>
      <c r="F2897" s="39"/>
      <c r="K2897" s="5"/>
      <c r="L2897" s="5"/>
      <c r="M2897" s="5"/>
      <c r="N2897" s="5"/>
      <c r="O2897" s="5"/>
      <c r="P2897" s="5"/>
    </row>
    <row r="2898" spans="2:16" s="8" customFormat="1" ht="12.75" hidden="1" customHeight="1">
      <c r="B2898" s="37"/>
      <c r="C2898" s="37"/>
      <c r="D2898" s="38"/>
      <c r="E2898" s="38"/>
      <c r="F2898" s="39"/>
      <c r="K2898" s="5"/>
      <c r="L2898" s="5"/>
      <c r="M2898" s="5"/>
      <c r="N2898" s="5"/>
      <c r="O2898" s="5"/>
      <c r="P2898" s="5"/>
    </row>
    <row r="2899" spans="2:16" s="8" customFormat="1" ht="12.75" hidden="1" customHeight="1">
      <c r="B2899" s="37"/>
      <c r="C2899" s="37"/>
      <c r="D2899" s="38"/>
      <c r="E2899" s="38"/>
      <c r="F2899" s="39"/>
      <c r="K2899" s="5"/>
      <c r="L2899" s="5"/>
      <c r="M2899" s="5"/>
      <c r="N2899" s="5"/>
      <c r="O2899" s="5"/>
      <c r="P2899" s="5"/>
    </row>
    <row r="2900" spans="2:16" s="8" customFormat="1" ht="12.75" hidden="1" customHeight="1">
      <c r="B2900" s="37"/>
      <c r="C2900" s="37"/>
      <c r="D2900" s="38"/>
      <c r="E2900" s="38"/>
      <c r="F2900" s="39"/>
      <c r="K2900" s="5"/>
      <c r="L2900" s="5"/>
      <c r="M2900" s="5"/>
      <c r="N2900" s="5"/>
      <c r="O2900" s="5"/>
      <c r="P2900" s="5"/>
    </row>
    <row r="2901" spans="2:16" s="8" customFormat="1" ht="12.75" hidden="1" customHeight="1">
      <c r="B2901" s="37"/>
      <c r="C2901" s="37"/>
      <c r="D2901" s="38"/>
      <c r="E2901" s="38"/>
      <c r="F2901" s="39"/>
      <c r="K2901" s="5"/>
      <c r="L2901" s="5"/>
      <c r="M2901" s="5"/>
      <c r="N2901" s="5"/>
      <c r="O2901" s="5"/>
      <c r="P2901" s="5"/>
    </row>
    <row r="2902" spans="2:16" s="8" customFormat="1" ht="12.75" hidden="1" customHeight="1">
      <c r="B2902" s="37"/>
      <c r="C2902" s="37"/>
      <c r="D2902" s="38"/>
      <c r="E2902" s="38"/>
      <c r="F2902" s="39"/>
      <c r="K2902" s="5"/>
      <c r="L2902" s="5"/>
      <c r="M2902" s="5"/>
      <c r="N2902" s="5"/>
      <c r="O2902" s="5"/>
      <c r="P2902" s="5"/>
    </row>
    <row r="2903" spans="2:16" s="8" customFormat="1" ht="12.75" hidden="1" customHeight="1">
      <c r="B2903" s="37"/>
      <c r="C2903" s="37"/>
      <c r="D2903" s="38"/>
      <c r="E2903" s="38"/>
      <c r="F2903" s="39"/>
      <c r="K2903" s="5"/>
      <c r="L2903" s="5"/>
      <c r="M2903" s="5"/>
      <c r="N2903" s="5"/>
      <c r="O2903" s="5"/>
      <c r="P2903" s="5"/>
    </row>
    <row r="2904" spans="2:16" s="8" customFormat="1" ht="12.75" hidden="1" customHeight="1">
      <c r="B2904" s="37"/>
      <c r="C2904" s="37"/>
      <c r="D2904" s="38"/>
      <c r="E2904" s="38"/>
      <c r="F2904" s="39"/>
      <c r="K2904" s="5"/>
      <c r="L2904" s="5"/>
      <c r="M2904" s="5"/>
      <c r="N2904" s="5"/>
      <c r="O2904" s="5"/>
      <c r="P2904" s="5"/>
    </row>
    <row r="2905" spans="2:16" s="8" customFormat="1" ht="12.75" hidden="1" customHeight="1">
      <c r="B2905" s="37"/>
      <c r="C2905" s="37"/>
      <c r="D2905" s="38"/>
      <c r="E2905" s="38"/>
      <c r="F2905" s="39"/>
      <c r="K2905" s="5"/>
      <c r="L2905" s="5"/>
      <c r="M2905" s="5"/>
      <c r="N2905" s="5"/>
      <c r="O2905" s="5"/>
      <c r="P2905" s="5"/>
    </row>
    <row r="2906" spans="2:16" s="8" customFormat="1" ht="12.75" hidden="1" customHeight="1">
      <c r="B2906" s="37"/>
      <c r="C2906" s="37"/>
      <c r="D2906" s="38"/>
      <c r="E2906" s="38"/>
      <c r="F2906" s="39"/>
      <c r="K2906" s="5"/>
      <c r="L2906" s="5"/>
      <c r="M2906" s="5"/>
      <c r="N2906" s="5"/>
      <c r="O2906" s="5"/>
      <c r="P2906" s="5"/>
    </row>
    <row r="2907" spans="2:16" s="8" customFormat="1" ht="12.75" hidden="1" customHeight="1">
      <c r="B2907" s="37"/>
      <c r="C2907" s="37"/>
      <c r="D2907" s="38"/>
      <c r="E2907" s="38"/>
      <c r="F2907" s="39"/>
      <c r="K2907" s="5"/>
      <c r="L2907" s="5"/>
      <c r="M2907" s="5"/>
      <c r="N2907" s="5"/>
      <c r="O2907" s="5"/>
      <c r="P2907" s="5"/>
    </row>
    <row r="2908" spans="2:16" s="8" customFormat="1" ht="12.75" hidden="1" customHeight="1">
      <c r="B2908" s="37"/>
      <c r="C2908" s="37"/>
      <c r="D2908" s="38"/>
      <c r="E2908" s="38"/>
      <c r="F2908" s="39"/>
      <c r="K2908" s="5"/>
      <c r="L2908" s="5"/>
      <c r="M2908" s="5"/>
      <c r="N2908" s="5"/>
      <c r="O2908" s="5"/>
      <c r="P2908" s="5"/>
    </row>
    <row r="2909" spans="2:16" s="8" customFormat="1" ht="12.75" hidden="1" customHeight="1">
      <c r="B2909" s="37"/>
      <c r="C2909" s="37"/>
      <c r="D2909" s="38"/>
      <c r="E2909" s="38"/>
      <c r="F2909" s="39"/>
      <c r="K2909" s="5"/>
      <c r="L2909" s="5"/>
      <c r="M2909" s="5"/>
      <c r="N2909" s="5"/>
      <c r="O2909" s="5"/>
      <c r="P2909" s="5"/>
    </row>
    <row r="2910" spans="2:16" s="8" customFormat="1" ht="12.75" hidden="1" customHeight="1">
      <c r="B2910" s="37"/>
      <c r="C2910" s="37"/>
      <c r="D2910" s="38"/>
      <c r="E2910" s="38"/>
      <c r="F2910" s="39"/>
      <c r="K2910" s="5"/>
      <c r="L2910" s="5"/>
      <c r="M2910" s="5"/>
      <c r="N2910" s="5"/>
      <c r="O2910" s="5"/>
      <c r="P2910" s="5"/>
    </row>
    <row r="2911" spans="2:16" s="8" customFormat="1" ht="12.75" hidden="1" customHeight="1">
      <c r="B2911" s="37"/>
      <c r="C2911" s="37"/>
      <c r="D2911" s="38"/>
      <c r="E2911" s="38"/>
      <c r="F2911" s="39"/>
      <c r="K2911" s="5"/>
      <c r="L2911" s="5"/>
      <c r="M2911" s="5"/>
      <c r="N2911" s="5"/>
      <c r="O2911" s="5"/>
      <c r="P2911" s="5"/>
    </row>
    <row r="2912" spans="2:16" s="8" customFormat="1" ht="12.75" hidden="1" customHeight="1">
      <c r="B2912" s="37"/>
      <c r="C2912" s="37"/>
      <c r="D2912" s="38"/>
      <c r="E2912" s="38"/>
      <c r="F2912" s="39"/>
      <c r="K2912" s="5"/>
      <c r="L2912" s="5"/>
      <c r="M2912" s="5"/>
      <c r="N2912" s="5"/>
      <c r="O2912" s="5"/>
      <c r="P2912" s="5"/>
    </row>
    <row r="2913" spans="2:16" s="8" customFormat="1" ht="12.75" hidden="1" customHeight="1">
      <c r="B2913" s="37"/>
      <c r="C2913" s="37"/>
      <c r="D2913" s="38"/>
      <c r="E2913" s="38"/>
      <c r="F2913" s="39"/>
      <c r="K2913" s="5"/>
      <c r="L2913" s="5"/>
      <c r="M2913" s="5"/>
      <c r="N2913" s="5"/>
      <c r="O2913" s="5"/>
      <c r="P2913" s="5"/>
    </row>
    <row r="2914" spans="2:16" s="8" customFormat="1" ht="12.75" hidden="1" customHeight="1">
      <c r="B2914" s="37"/>
      <c r="C2914" s="37"/>
      <c r="D2914" s="38"/>
      <c r="E2914" s="38"/>
      <c r="F2914" s="39"/>
      <c r="K2914" s="5"/>
      <c r="L2914" s="5"/>
      <c r="M2914" s="5"/>
      <c r="N2914" s="5"/>
      <c r="O2914" s="5"/>
      <c r="P2914" s="5"/>
    </row>
    <row r="2915" spans="2:16" s="8" customFormat="1" ht="12.75" hidden="1" customHeight="1">
      <c r="B2915" s="37"/>
      <c r="C2915" s="37"/>
      <c r="D2915" s="38"/>
      <c r="E2915" s="38"/>
      <c r="F2915" s="39"/>
      <c r="K2915" s="5"/>
      <c r="L2915" s="5"/>
      <c r="M2915" s="5"/>
      <c r="N2915" s="5"/>
      <c r="O2915" s="5"/>
      <c r="P2915" s="5"/>
    </row>
    <row r="2916" spans="2:16" s="8" customFormat="1" ht="12.75" hidden="1" customHeight="1">
      <c r="B2916" s="37"/>
      <c r="C2916" s="37"/>
      <c r="D2916" s="38"/>
      <c r="E2916" s="38"/>
      <c r="F2916" s="39"/>
      <c r="K2916" s="5"/>
      <c r="L2916" s="5"/>
      <c r="M2916" s="5"/>
      <c r="N2916" s="5"/>
      <c r="O2916" s="5"/>
      <c r="P2916" s="5"/>
    </row>
    <row r="2917" spans="2:16" s="8" customFormat="1" ht="12.75" hidden="1" customHeight="1">
      <c r="B2917" s="37"/>
      <c r="C2917" s="37"/>
      <c r="D2917" s="38"/>
      <c r="E2917" s="38"/>
      <c r="F2917" s="39"/>
      <c r="K2917" s="5"/>
      <c r="L2917" s="5"/>
      <c r="M2917" s="5"/>
      <c r="N2917" s="5"/>
      <c r="O2917" s="5"/>
      <c r="P2917" s="5"/>
    </row>
    <row r="2918" spans="2:16" s="8" customFormat="1" ht="12.75" hidden="1" customHeight="1">
      <c r="B2918" s="37"/>
      <c r="C2918" s="37"/>
      <c r="D2918" s="38"/>
      <c r="E2918" s="38"/>
      <c r="F2918" s="39"/>
      <c r="K2918" s="5"/>
      <c r="L2918" s="5"/>
      <c r="M2918" s="5"/>
      <c r="N2918" s="5"/>
      <c r="O2918" s="5"/>
      <c r="P2918" s="5"/>
    </row>
    <row r="2919" spans="2:16" s="8" customFormat="1" ht="12.75" hidden="1" customHeight="1">
      <c r="B2919" s="37"/>
      <c r="C2919" s="37"/>
      <c r="D2919" s="38"/>
      <c r="E2919" s="38"/>
      <c r="F2919" s="39"/>
      <c r="K2919" s="5"/>
      <c r="L2919" s="5"/>
      <c r="M2919" s="5"/>
      <c r="N2919" s="5"/>
      <c r="O2919" s="5"/>
      <c r="P2919" s="5"/>
    </row>
    <row r="2920" spans="2:16" s="8" customFormat="1" ht="12.75" hidden="1" customHeight="1">
      <c r="B2920" s="37"/>
      <c r="C2920" s="37"/>
      <c r="D2920" s="38"/>
      <c r="E2920" s="38"/>
      <c r="F2920" s="39"/>
      <c r="K2920" s="5"/>
      <c r="L2920" s="5"/>
      <c r="M2920" s="5"/>
      <c r="N2920" s="5"/>
      <c r="O2920" s="5"/>
      <c r="P2920" s="5"/>
    </row>
    <row r="2921" spans="2:16" s="8" customFormat="1" ht="12.75" hidden="1" customHeight="1">
      <c r="B2921" s="37"/>
      <c r="C2921" s="37"/>
      <c r="D2921" s="38"/>
      <c r="E2921" s="38"/>
      <c r="F2921" s="39"/>
      <c r="K2921" s="5"/>
      <c r="L2921" s="5"/>
      <c r="M2921" s="5"/>
      <c r="N2921" s="5"/>
      <c r="O2921" s="5"/>
      <c r="P2921" s="5"/>
    </row>
    <row r="2922" spans="2:16" s="8" customFormat="1" ht="12.75" hidden="1" customHeight="1">
      <c r="B2922" s="37"/>
      <c r="C2922" s="37"/>
      <c r="D2922" s="38"/>
      <c r="E2922" s="38"/>
      <c r="F2922" s="39"/>
      <c r="K2922" s="5"/>
      <c r="L2922" s="5"/>
      <c r="M2922" s="5"/>
      <c r="N2922" s="5"/>
      <c r="O2922" s="5"/>
      <c r="P2922" s="5"/>
    </row>
    <row r="2923" spans="2:16" s="8" customFormat="1" ht="12.75" hidden="1" customHeight="1">
      <c r="B2923" s="37"/>
      <c r="C2923" s="37"/>
      <c r="D2923" s="38"/>
      <c r="E2923" s="38"/>
      <c r="F2923" s="39"/>
      <c r="K2923" s="5"/>
      <c r="L2923" s="5"/>
      <c r="M2923" s="5"/>
      <c r="N2923" s="5"/>
      <c r="O2923" s="5"/>
      <c r="P2923" s="5"/>
    </row>
    <row r="2924" spans="2:16" s="8" customFormat="1" ht="12.75" hidden="1" customHeight="1">
      <c r="B2924" s="37"/>
      <c r="C2924" s="37"/>
      <c r="D2924" s="38"/>
      <c r="E2924" s="38"/>
      <c r="F2924" s="39"/>
      <c r="K2924" s="5"/>
      <c r="L2924" s="5"/>
      <c r="M2924" s="5"/>
      <c r="N2924" s="5"/>
      <c r="O2924" s="5"/>
      <c r="P2924" s="5"/>
    </row>
    <row r="2925" spans="2:16" s="8" customFormat="1" ht="12.75" hidden="1" customHeight="1">
      <c r="B2925" s="37"/>
      <c r="C2925" s="37"/>
      <c r="D2925" s="38"/>
      <c r="E2925" s="38"/>
      <c r="F2925" s="39"/>
      <c r="K2925" s="5"/>
      <c r="L2925" s="5"/>
      <c r="M2925" s="5"/>
      <c r="N2925" s="5"/>
      <c r="O2925" s="5"/>
      <c r="P2925" s="5"/>
    </row>
    <row r="2926" spans="2:16" s="8" customFormat="1" ht="12.75" hidden="1" customHeight="1">
      <c r="B2926" s="37"/>
      <c r="C2926" s="37"/>
      <c r="D2926" s="38"/>
      <c r="E2926" s="38"/>
      <c r="F2926" s="39"/>
      <c r="K2926" s="5"/>
      <c r="L2926" s="5"/>
      <c r="M2926" s="5"/>
      <c r="N2926" s="5"/>
      <c r="O2926" s="5"/>
      <c r="P2926" s="5"/>
    </row>
    <row r="2927" spans="2:16" s="8" customFormat="1" ht="12.75" hidden="1" customHeight="1">
      <c r="B2927" s="37"/>
      <c r="C2927" s="37"/>
      <c r="D2927" s="38"/>
      <c r="E2927" s="38"/>
      <c r="F2927" s="39"/>
      <c r="K2927" s="5"/>
      <c r="L2927" s="5"/>
      <c r="M2927" s="5"/>
      <c r="N2927" s="5"/>
      <c r="O2927" s="5"/>
      <c r="P2927" s="5"/>
    </row>
    <row r="2928" spans="2:16" s="8" customFormat="1" ht="12.75" hidden="1" customHeight="1">
      <c r="B2928" s="37"/>
      <c r="C2928" s="37"/>
      <c r="D2928" s="38"/>
      <c r="E2928" s="38"/>
      <c r="F2928" s="39"/>
      <c r="K2928" s="5"/>
      <c r="L2928" s="5"/>
      <c r="M2928" s="5"/>
      <c r="N2928" s="5"/>
      <c r="O2928" s="5"/>
      <c r="P2928" s="5"/>
    </row>
    <row r="2929" spans="2:16" s="8" customFormat="1" ht="12.75" hidden="1" customHeight="1">
      <c r="B2929" s="37"/>
      <c r="C2929" s="37"/>
      <c r="D2929" s="38"/>
      <c r="E2929" s="38"/>
      <c r="F2929" s="39"/>
      <c r="K2929" s="5"/>
      <c r="L2929" s="5"/>
      <c r="M2929" s="5"/>
      <c r="N2929" s="5"/>
      <c r="O2929" s="5"/>
      <c r="P2929" s="5"/>
    </row>
    <row r="2930" spans="2:16" s="8" customFormat="1" ht="12.75" hidden="1" customHeight="1">
      <c r="B2930" s="37"/>
      <c r="C2930" s="37"/>
      <c r="D2930" s="38"/>
      <c r="E2930" s="38"/>
      <c r="F2930" s="39"/>
      <c r="K2930" s="5"/>
      <c r="L2930" s="5"/>
      <c r="M2930" s="5"/>
      <c r="N2930" s="5"/>
      <c r="O2930" s="5"/>
      <c r="P2930" s="5"/>
    </row>
    <row r="2931" spans="2:16" s="8" customFormat="1" ht="12.75" hidden="1" customHeight="1">
      <c r="B2931" s="37"/>
      <c r="C2931" s="37"/>
      <c r="D2931" s="38"/>
      <c r="E2931" s="38"/>
      <c r="F2931" s="39"/>
      <c r="K2931" s="5"/>
      <c r="L2931" s="5"/>
      <c r="M2931" s="5"/>
      <c r="N2931" s="5"/>
      <c r="O2931" s="5"/>
      <c r="P2931" s="5"/>
    </row>
    <row r="2932" spans="2:16" s="8" customFormat="1" ht="12.75" hidden="1" customHeight="1">
      <c r="B2932" s="37"/>
      <c r="C2932" s="37"/>
      <c r="D2932" s="38"/>
      <c r="E2932" s="38"/>
      <c r="F2932" s="39"/>
      <c r="K2932" s="5"/>
      <c r="L2932" s="5"/>
      <c r="M2932" s="5"/>
      <c r="N2932" s="5"/>
      <c r="O2932" s="5"/>
      <c r="P2932" s="5"/>
    </row>
    <row r="2933" spans="2:16" s="8" customFormat="1" ht="12.75" hidden="1" customHeight="1">
      <c r="B2933" s="37"/>
      <c r="C2933" s="37"/>
      <c r="D2933" s="38"/>
      <c r="E2933" s="38"/>
      <c r="F2933" s="39"/>
      <c r="K2933" s="5"/>
      <c r="L2933" s="5"/>
      <c r="M2933" s="5"/>
      <c r="N2933" s="5"/>
      <c r="O2933" s="5"/>
      <c r="P2933" s="5"/>
    </row>
    <row r="2934" spans="2:16" s="8" customFormat="1" ht="12.75" hidden="1" customHeight="1">
      <c r="B2934" s="37"/>
      <c r="C2934" s="37"/>
      <c r="D2934" s="38"/>
      <c r="E2934" s="38"/>
      <c r="F2934" s="39"/>
      <c r="K2934" s="5"/>
      <c r="L2934" s="5"/>
      <c r="M2934" s="5"/>
      <c r="N2934" s="5"/>
      <c r="O2934" s="5"/>
      <c r="P2934" s="5"/>
    </row>
    <row r="2935" spans="2:16" s="8" customFormat="1" ht="12.75" hidden="1" customHeight="1">
      <c r="B2935" s="37"/>
      <c r="C2935" s="37"/>
      <c r="D2935" s="38"/>
      <c r="E2935" s="38"/>
      <c r="F2935" s="39"/>
      <c r="K2935" s="5"/>
      <c r="L2935" s="5"/>
      <c r="M2935" s="5"/>
      <c r="N2935" s="5"/>
      <c r="O2935" s="5"/>
      <c r="P2935" s="5"/>
    </row>
    <row r="2936" spans="2:16" s="8" customFormat="1" ht="12.75" hidden="1" customHeight="1">
      <c r="B2936" s="37"/>
      <c r="C2936" s="37"/>
      <c r="D2936" s="38"/>
      <c r="E2936" s="38"/>
      <c r="F2936" s="39"/>
      <c r="K2936" s="5"/>
      <c r="L2936" s="5"/>
      <c r="M2936" s="5"/>
      <c r="N2936" s="5"/>
      <c r="O2936" s="5"/>
      <c r="P2936" s="5"/>
    </row>
    <row r="2937" spans="2:16" s="8" customFormat="1" ht="12.75" hidden="1" customHeight="1">
      <c r="B2937" s="37"/>
      <c r="C2937" s="37"/>
      <c r="D2937" s="38"/>
      <c r="E2937" s="38"/>
      <c r="F2937" s="39"/>
      <c r="K2937" s="5"/>
      <c r="L2937" s="5"/>
      <c r="M2937" s="5"/>
      <c r="N2937" s="5"/>
      <c r="O2937" s="5"/>
      <c r="P2937" s="5"/>
    </row>
    <row r="2938" spans="2:16" s="8" customFormat="1" ht="12.75" hidden="1" customHeight="1">
      <c r="B2938" s="37"/>
      <c r="C2938" s="37"/>
      <c r="D2938" s="38"/>
      <c r="E2938" s="38"/>
      <c r="F2938" s="39"/>
      <c r="K2938" s="5"/>
      <c r="L2938" s="5"/>
      <c r="M2938" s="5"/>
      <c r="N2938" s="5"/>
      <c r="O2938" s="5"/>
      <c r="P2938" s="5"/>
    </row>
    <row r="2939" spans="2:16" s="8" customFormat="1" ht="12.75" hidden="1" customHeight="1">
      <c r="B2939" s="37"/>
      <c r="C2939" s="37"/>
      <c r="D2939" s="38"/>
      <c r="E2939" s="38"/>
      <c r="F2939" s="39"/>
      <c r="K2939" s="5"/>
      <c r="L2939" s="5"/>
      <c r="M2939" s="5"/>
      <c r="N2939" s="5"/>
      <c r="O2939" s="5"/>
      <c r="P2939" s="5"/>
    </row>
    <row r="2940" spans="2:16" s="8" customFormat="1" ht="12.75" hidden="1" customHeight="1">
      <c r="B2940" s="37"/>
      <c r="C2940" s="37"/>
      <c r="D2940" s="38"/>
      <c r="E2940" s="38"/>
      <c r="F2940" s="39"/>
      <c r="K2940" s="5"/>
      <c r="L2940" s="5"/>
      <c r="M2940" s="5"/>
      <c r="N2940" s="5"/>
      <c r="O2940" s="5"/>
      <c r="P2940" s="5"/>
    </row>
    <row r="2941" spans="2:16" s="8" customFormat="1" ht="12.75" hidden="1" customHeight="1">
      <c r="B2941" s="37"/>
      <c r="C2941" s="37"/>
      <c r="D2941" s="38"/>
      <c r="E2941" s="38"/>
      <c r="F2941" s="39"/>
      <c r="K2941" s="5"/>
      <c r="L2941" s="5"/>
      <c r="M2941" s="5"/>
      <c r="N2941" s="5"/>
      <c r="O2941" s="5"/>
      <c r="P2941" s="5"/>
    </row>
    <row r="2942" spans="2:16" s="8" customFormat="1" ht="12.75" hidden="1" customHeight="1">
      <c r="B2942" s="37"/>
      <c r="C2942" s="37"/>
      <c r="D2942" s="38"/>
      <c r="E2942" s="38"/>
      <c r="F2942" s="39"/>
      <c r="K2942" s="5"/>
      <c r="L2942" s="5"/>
      <c r="M2942" s="5"/>
      <c r="N2942" s="5"/>
      <c r="O2942" s="5"/>
      <c r="P2942" s="5"/>
    </row>
    <row r="2943" spans="2:16" s="8" customFormat="1" ht="12.75" hidden="1" customHeight="1">
      <c r="B2943" s="37"/>
      <c r="C2943" s="37"/>
      <c r="D2943" s="38"/>
      <c r="E2943" s="38"/>
      <c r="F2943" s="39"/>
      <c r="K2943" s="5"/>
      <c r="L2943" s="5"/>
      <c r="M2943" s="5"/>
      <c r="N2943" s="5"/>
      <c r="O2943" s="5"/>
      <c r="P2943" s="5"/>
    </row>
    <row r="2944" spans="2:16" s="8" customFormat="1" ht="12.75" hidden="1" customHeight="1">
      <c r="B2944" s="37"/>
      <c r="C2944" s="37"/>
      <c r="D2944" s="38"/>
      <c r="E2944" s="38"/>
      <c r="F2944" s="39"/>
      <c r="K2944" s="5"/>
      <c r="L2944" s="5"/>
      <c r="M2944" s="5"/>
      <c r="N2944" s="5"/>
      <c r="O2944" s="5"/>
      <c r="P2944" s="5"/>
    </row>
    <row r="2945" spans="2:16" s="8" customFormat="1" ht="12.75" hidden="1" customHeight="1">
      <c r="B2945" s="37"/>
      <c r="C2945" s="37"/>
      <c r="D2945" s="38"/>
      <c r="E2945" s="38"/>
      <c r="F2945" s="39"/>
      <c r="K2945" s="5"/>
      <c r="L2945" s="5"/>
      <c r="M2945" s="5"/>
      <c r="N2945" s="5"/>
      <c r="O2945" s="5"/>
      <c r="P2945" s="5"/>
    </row>
    <row r="2946" spans="2:16" s="8" customFormat="1" ht="12.75" hidden="1" customHeight="1">
      <c r="B2946" s="37"/>
      <c r="C2946" s="37"/>
      <c r="D2946" s="38"/>
      <c r="E2946" s="38"/>
      <c r="F2946" s="39"/>
      <c r="K2946" s="5"/>
      <c r="L2946" s="5"/>
      <c r="M2946" s="5"/>
      <c r="N2946" s="5"/>
      <c r="O2946" s="5"/>
      <c r="P2946" s="5"/>
    </row>
    <row r="2947" spans="2:16" s="8" customFormat="1" ht="12.75" hidden="1" customHeight="1">
      <c r="B2947" s="37"/>
      <c r="C2947" s="37"/>
      <c r="D2947" s="38"/>
      <c r="E2947" s="38"/>
      <c r="F2947" s="39"/>
      <c r="K2947" s="5"/>
      <c r="L2947" s="5"/>
      <c r="M2947" s="5"/>
      <c r="N2947" s="5"/>
      <c r="O2947" s="5"/>
      <c r="P2947" s="5"/>
    </row>
    <row r="2948" spans="2:16" s="8" customFormat="1" ht="12.75" hidden="1" customHeight="1">
      <c r="B2948" s="37"/>
      <c r="C2948" s="37"/>
      <c r="D2948" s="38"/>
      <c r="E2948" s="38"/>
      <c r="F2948" s="39"/>
      <c r="K2948" s="5"/>
      <c r="L2948" s="5"/>
      <c r="M2948" s="5"/>
      <c r="N2948" s="5"/>
      <c r="O2948" s="5"/>
      <c r="P2948" s="5"/>
    </row>
    <row r="2949" spans="2:16" s="8" customFormat="1" ht="12.75" hidden="1" customHeight="1">
      <c r="B2949" s="37"/>
      <c r="C2949" s="37"/>
      <c r="D2949" s="38"/>
      <c r="E2949" s="38"/>
      <c r="F2949" s="39"/>
      <c r="K2949" s="5"/>
      <c r="L2949" s="5"/>
      <c r="M2949" s="5"/>
      <c r="N2949" s="5"/>
      <c r="O2949" s="5"/>
      <c r="P2949" s="5"/>
    </row>
    <row r="2950" spans="2:16" s="8" customFormat="1" ht="12.75" hidden="1" customHeight="1">
      <c r="B2950" s="37"/>
      <c r="C2950" s="37"/>
      <c r="D2950" s="38"/>
      <c r="E2950" s="38"/>
      <c r="F2950" s="39"/>
      <c r="K2950" s="5"/>
      <c r="L2950" s="5"/>
      <c r="M2950" s="5"/>
      <c r="N2950" s="5"/>
      <c r="O2950" s="5"/>
      <c r="P2950" s="5"/>
    </row>
    <row r="2951" spans="2:16" s="8" customFormat="1" ht="12.75" hidden="1" customHeight="1">
      <c r="B2951" s="37"/>
      <c r="C2951" s="37"/>
      <c r="D2951" s="38"/>
      <c r="E2951" s="38"/>
      <c r="F2951" s="39"/>
      <c r="K2951" s="5"/>
      <c r="L2951" s="5"/>
      <c r="M2951" s="5"/>
      <c r="N2951" s="5"/>
      <c r="O2951" s="5"/>
      <c r="P2951" s="5"/>
    </row>
    <row r="2952" spans="2:16" s="8" customFormat="1" ht="12.75" hidden="1" customHeight="1">
      <c r="B2952" s="37"/>
      <c r="C2952" s="37"/>
      <c r="D2952" s="38"/>
      <c r="E2952" s="38"/>
      <c r="F2952" s="39"/>
      <c r="K2952" s="5"/>
      <c r="L2952" s="5"/>
      <c r="M2952" s="5"/>
      <c r="N2952" s="5"/>
      <c r="O2952" s="5"/>
      <c r="P2952" s="5"/>
    </row>
    <row r="2953" spans="2:16" s="8" customFormat="1" ht="12.75" hidden="1" customHeight="1">
      <c r="B2953" s="37"/>
      <c r="C2953" s="37"/>
      <c r="D2953" s="38"/>
      <c r="E2953" s="38"/>
      <c r="F2953" s="39"/>
      <c r="K2953" s="5"/>
      <c r="L2953" s="5"/>
      <c r="M2953" s="5"/>
      <c r="N2953" s="5"/>
      <c r="O2953" s="5"/>
      <c r="P2953" s="5"/>
    </row>
    <row r="2954" spans="2:16" s="8" customFormat="1" ht="12.75" hidden="1" customHeight="1">
      <c r="B2954" s="37"/>
      <c r="C2954" s="37"/>
      <c r="D2954" s="38"/>
      <c r="E2954" s="38"/>
      <c r="F2954" s="39"/>
      <c r="K2954" s="5"/>
      <c r="L2954" s="5"/>
      <c r="M2954" s="5"/>
      <c r="N2954" s="5"/>
      <c r="O2954" s="5"/>
      <c r="P2954" s="5"/>
    </row>
    <row r="2955" spans="2:16" s="8" customFormat="1" ht="12.75" hidden="1" customHeight="1">
      <c r="B2955" s="37"/>
      <c r="C2955" s="37"/>
      <c r="D2955" s="38"/>
      <c r="E2955" s="38"/>
      <c r="F2955" s="39"/>
      <c r="K2955" s="5"/>
      <c r="L2955" s="5"/>
      <c r="M2955" s="5"/>
      <c r="N2955" s="5"/>
      <c r="O2955" s="5"/>
      <c r="P2955" s="5"/>
    </row>
    <row r="2956" spans="2:16" s="8" customFormat="1" ht="12.75" hidden="1" customHeight="1">
      <c r="B2956" s="37"/>
      <c r="C2956" s="37"/>
      <c r="D2956" s="38"/>
      <c r="E2956" s="38"/>
      <c r="F2956" s="39"/>
      <c r="K2956" s="5"/>
      <c r="L2956" s="5"/>
      <c r="M2956" s="5"/>
      <c r="N2956" s="5"/>
      <c r="O2956" s="5"/>
      <c r="P2956" s="5"/>
    </row>
    <row r="2957" spans="2:16" s="8" customFormat="1" ht="12.75" hidden="1" customHeight="1">
      <c r="B2957" s="37"/>
      <c r="C2957" s="37"/>
      <c r="D2957" s="38"/>
      <c r="E2957" s="38"/>
      <c r="F2957" s="39"/>
      <c r="K2957" s="5"/>
      <c r="L2957" s="5"/>
      <c r="M2957" s="5"/>
      <c r="N2957" s="5"/>
      <c r="O2957" s="5"/>
      <c r="P2957" s="5"/>
    </row>
    <row r="2958" spans="2:16" s="8" customFormat="1" ht="12.75" hidden="1" customHeight="1">
      <c r="B2958" s="37"/>
      <c r="C2958" s="37"/>
      <c r="D2958" s="38"/>
      <c r="E2958" s="38"/>
      <c r="F2958" s="39"/>
      <c r="K2958" s="5"/>
      <c r="L2958" s="5"/>
      <c r="M2958" s="5"/>
      <c r="N2958" s="5"/>
      <c r="O2958" s="5"/>
      <c r="P2958" s="5"/>
    </row>
    <row r="2959" spans="2:16" s="8" customFormat="1" ht="12.75" hidden="1" customHeight="1">
      <c r="B2959" s="37"/>
      <c r="C2959" s="37"/>
      <c r="D2959" s="38"/>
      <c r="E2959" s="38"/>
      <c r="F2959" s="39"/>
      <c r="K2959" s="5"/>
      <c r="L2959" s="5"/>
      <c r="M2959" s="5"/>
      <c r="N2959" s="5"/>
      <c r="O2959" s="5"/>
      <c r="P2959" s="5"/>
    </row>
    <row r="2960" spans="2:16" s="8" customFormat="1" ht="12.75" hidden="1" customHeight="1">
      <c r="B2960" s="37"/>
      <c r="C2960" s="37"/>
      <c r="D2960" s="38"/>
      <c r="E2960" s="38"/>
      <c r="F2960" s="39"/>
      <c r="K2960" s="5"/>
      <c r="L2960" s="5"/>
      <c r="M2960" s="5"/>
      <c r="N2960" s="5"/>
      <c r="O2960" s="5"/>
      <c r="P2960" s="5"/>
    </row>
    <row r="2961" spans="2:16" s="8" customFormat="1" ht="12.75" hidden="1" customHeight="1">
      <c r="B2961" s="37"/>
      <c r="C2961" s="37"/>
      <c r="D2961" s="38"/>
      <c r="E2961" s="38"/>
      <c r="F2961" s="39"/>
      <c r="K2961" s="5"/>
      <c r="L2961" s="5"/>
      <c r="M2961" s="5"/>
      <c r="N2961" s="5"/>
      <c r="O2961" s="5"/>
      <c r="P2961" s="5"/>
    </row>
    <row r="2962" spans="2:16" s="8" customFormat="1" ht="12.75" hidden="1" customHeight="1">
      <c r="B2962" s="37"/>
      <c r="C2962" s="37"/>
      <c r="D2962" s="38"/>
      <c r="E2962" s="38"/>
      <c r="F2962" s="39"/>
      <c r="K2962" s="5"/>
      <c r="L2962" s="5"/>
      <c r="M2962" s="5"/>
      <c r="N2962" s="5"/>
      <c r="O2962" s="5"/>
      <c r="P2962" s="5"/>
    </row>
    <row r="2963" spans="2:16" s="8" customFormat="1" ht="12.75" hidden="1" customHeight="1">
      <c r="B2963" s="37"/>
      <c r="C2963" s="37"/>
      <c r="D2963" s="38"/>
      <c r="E2963" s="38"/>
      <c r="F2963" s="39"/>
      <c r="K2963" s="5"/>
      <c r="L2963" s="5"/>
      <c r="M2963" s="5"/>
      <c r="N2963" s="5"/>
      <c r="O2963" s="5"/>
      <c r="P2963" s="5"/>
    </row>
    <row r="2964" spans="2:16" s="8" customFormat="1" ht="12.75" hidden="1" customHeight="1">
      <c r="B2964" s="37"/>
      <c r="C2964" s="37"/>
      <c r="D2964" s="38"/>
      <c r="E2964" s="38"/>
      <c r="F2964" s="39"/>
      <c r="K2964" s="5"/>
      <c r="L2964" s="5"/>
      <c r="M2964" s="5"/>
      <c r="N2964" s="5"/>
      <c r="O2964" s="5"/>
      <c r="P2964" s="5"/>
    </row>
    <row r="2965" spans="2:16" s="8" customFormat="1" ht="12.75" hidden="1" customHeight="1">
      <c r="B2965" s="37"/>
      <c r="C2965" s="37"/>
      <c r="D2965" s="38"/>
      <c r="E2965" s="38"/>
      <c r="F2965" s="39"/>
      <c r="K2965" s="5"/>
      <c r="L2965" s="5"/>
      <c r="M2965" s="5"/>
      <c r="N2965" s="5"/>
      <c r="O2965" s="5"/>
      <c r="P2965" s="5"/>
    </row>
    <row r="2966" spans="2:16" s="8" customFormat="1" ht="12.75" hidden="1" customHeight="1">
      <c r="B2966" s="37"/>
      <c r="C2966" s="37"/>
      <c r="D2966" s="38"/>
      <c r="E2966" s="38"/>
      <c r="F2966" s="39"/>
      <c r="K2966" s="5"/>
      <c r="L2966" s="5"/>
      <c r="M2966" s="5"/>
      <c r="N2966" s="5"/>
      <c r="O2966" s="5"/>
      <c r="P2966" s="5"/>
    </row>
    <row r="2967" spans="2:16" s="8" customFormat="1" ht="12.75" hidden="1" customHeight="1">
      <c r="B2967" s="37"/>
      <c r="C2967" s="37"/>
      <c r="D2967" s="38"/>
      <c r="E2967" s="38"/>
      <c r="F2967" s="39"/>
      <c r="K2967" s="5"/>
      <c r="L2967" s="5"/>
      <c r="M2967" s="5"/>
      <c r="N2967" s="5"/>
      <c r="O2967" s="5"/>
      <c r="P2967" s="5"/>
    </row>
    <row r="2968" spans="2:16" s="8" customFormat="1" ht="12.75" hidden="1" customHeight="1">
      <c r="B2968" s="37"/>
      <c r="C2968" s="37"/>
      <c r="D2968" s="38"/>
      <c r="E2968" s="38"/>
      <c r="F2968" s="39"/>
      <c r="K2968" s="5"/>
      <c r="L2968" s="5"/>
      <c r="M2968" s="5"/>
      <c r="N2968" s="5"/>
      <c r="O2968" s="5"/>
      <c r="P2968" s="5"/>
    </row>
    <row r="2969" spans="2:16" s="8" customFormat="1" ht="12.75" hidden="1" customHeight="1">
      <c r="B2969" s="37"/>
      <c r="C2969" s="37"/>
      <c r="D2969" s="38"/>
      <c r="E2969" s="38"/>
      <c r="F2969" s="39"/>
      <c r="K2969" s="5"/>
      <c r="L2969" s="5"/>
      <c r="M2969" s="5"/>
      <c r="N2969" s="5"/>
      <c r="O2969" s="5"/>
      <c r="P2969" s="5"/>
    </row>
    <row r="2970" spans="2:16" s="8" customFormat="1" ht="12.75" hidden="1" customHeight="1">
      <c r="B2970" s="37"/>
      <c r="C2970" s="37"/>
      <c r="D2970" s="38"/>
      <c r="E2970" s="38"/>
      <c r="F2970" s="39"/>
      <c r="K2970" s="5"/>
      <c r="L2970" s="5"/>
      <c r="M2970" s="5"/>
      <c r="N2970" s="5"/>
      <c r="O2970" s="5"/>
      <c r="P2970" s="5"/>
    </row>
    <row r="2971" spans="2:16" s="8" customFormat="1" ht="12.75" hidden="1" customHeight="1">
      <c r="B2971" s="37"/>
      <c r="C2971" s="37"/>
      <c r="D2971" s="38"/>
      <c r="E2971" s="38"/>
      <c r="F2971" s="39"/>
      <c r="K2971" s="5"/>
      <c r="L2971" s="5"/>
      <c r="M2971" s="5"/>
      <c r="N2971" s="5"/>
      <c r="O2971" s="5"/>
      <c r="P2971" s="5"/>
    </row>
    <row r="2972" spans="2:16" s="8" customFormat="1" ht="12.75" hidden="1" customHeight="1">
      <c r="B2972" s="37"/>
      <c r="C2972" s="37"/>
      <c r="D2972" s="38"/>
      <c r="E2972" s="38"/>
      <c r="F2972" s="39"/>
      <c r="K2972" s="5"/>
      <c r="L2972" s="5"/>
      <c r="M2972" s="5"/>
      <c r="N2972" s="5"/>
      <c r="O2972" s="5"/>
      <c r="P2972" s="5"/>
    </row>
    <row r="2973" spans="2:16" s="8" customFormat="1" ht="12.75" hidden="1" customHeight="1">
      <c r="B2973" s="37"/>
      <c r="C2973" s="37"/>
      <c r="D2973" s="38"/>
      <c r="E2973" s="38"/>
      <c r="F2973" s="39"/>
      <c r="K2973" s="5"/>
      <c r="L2973" s="5"/>
      <c r="M2973" s="5"/>
      <c r="N2973" s="5"/>
      <c r="O2973" s="5"/>
      <c r="P2973" s="5"/>
    </row>
    <row r="2974" spans="2:16" s="8" customFormat="1" ht="12.75" hidden="1" customHeight="1">
      <c r="B2974" s="37"/>
      <c r="C2974" s="37"/>
      <c r="D2974" s="38"/>
      <c r="E2974" s="38"/>
      <c r="F2974" s="39"/>
      <c r="K2974" s="5"/>
      <c r="L2974" s="5"/>
      <c r="M2974" s="5"/>
      <c r="N2974" s="5"/>
      <c r="O2974" s="5"/>
      <c r="P2974" s="5"/>
    </row>
    <row r="2975" spans="2:16" s="8" customFormat="1" ht="12.75" hidden="1" customHeight="1">
      <c r="B2975" s="37"/>
      <c r="C2975" s="37"/>
      <c r="D2975" s="38"/>
      <c r="E2975" s="38"/>
      <c r="F2975" s="39"/>
      <c r="K2975" s="5"/>
      <c r="L2975" s="5"/>
      <c r="M2975" s="5"/>
      <c r="N2975" s="5"/>
      <c r="O2975" s="5"/>
      <c r="P2975" s="5"/>
    </row>
    <row r="2976" spans="2:16" s="8" customFormat="1" ht="12.75" hidden="1" customHeight="1">
      <c r="B2976" s="37"/>
      <c r="C2976" s="37"/>
      <c r="D2976" s="38"/>
      <c r="E2976" s="38"/>
      <c r="F2976" s="39"/>
      <c r="K2976" s="5"/>
      <c r="L2976" s="5"/>
      <c r="M2976" s="5"/>
      <c r="N2976" s="5"/>
      <c r="O2976" s="5"/>
      <c r="P2976" s="5"/>
    </row>
    <row r="2977" spans="2:16" s="8" customFormat="1" ht="12.75" hidden="1" customHeight="1">
      <c r="B2977" s="37"/>
      <c r="C2977" s="37"/>
      <c r="D2977" s="38"/>
      <c r="E2977" s="38"/>
      <c r="F2977" s="39"/>
      <c r="K2977" s="5"/>
      <c r="L2977" s="5"/>
      <c r="M2977" s="5"/>
      <c r="N2977" s="5"/>
      <c r="O2977" s="5"/>
      <c r="P2977" s="5"/>
    </row>
    <row r="2978" spans="2:16" s="8" customFormat="1" ht="12.75" hidden="1" customHeight="1">
      <c r="B2978" s="37"/>
      <c r="C2978" s="37"/>
      <c r="D2978" s="38"/>
      <c r="E2978" s="38"/>
      <c r="F2978" s="39"/>
      <c r="K2978" s="5"/>
      <c r="L2978" s="5"/>
      <c r="M2978" s="5"/>
      <c r="N2978" s="5"/>
      <c r="O2978" s="5"/>
      <c r="P2978" s="5"/>
    </row>
    <row r="2979" spans="2:16" s="8" customFormat="1" ht="12.75" hidden="1" customHeight="1">
      <c r="B2979" s="37"/>
      <c r="C2979" s="37"/>
      <c r="D2979" s="38"/>
      <c r="E2979" s="38"/>
      <c r="F2979" s="39"/>
      <c r="K2979" s="5"/>
      <c r="L2979" s="5"/>
      <c r="M2979" s="5"/>
      <c r="N2979" s="5"/>
      <c r="O2979" s="5"/>
      <c r="P2979" s="5"/>
    </row>
    <row r="2980" spans="2:16" s="8" customFormat="1" ht="12.75" hidden="1" customHeight="1">
      <c r="B2980" s="37"/>
      <c r="C2980" s="37"/>
      <c r="D2980" s="38"/>
      <c r="E2980" s="38"/>
      <c r="F2980" s="39"/>
      <c r="K2980" s="5"/>
      <c r="L2980" s="5"/>
      <c r="M2980" s="5"/>
      <c r="N2980" s="5"/>
      <c r="O2980" s="5"/>
      <c r="P2980" s="5"/>
    </row>
    <row r="2981" spans="2:16" s="8" customFormat="1" ht="12.75" hidden="1" customHeight="1">
      <c r="B2981" s="37"/>
      <c r="C2981" s="37"/>
      <c r="D2981" s="38"/>
      <c r="E2981" s="38"/>
      <c r="F2981" s="39"/>
      <c r="K2981" s="5"/>
      <c r="L2981" s="5"/>
      <c r="M2981" s="5"/>
      <c r="N2981" s="5"/>
      <c r="O2981" s="5"/>
      <c r="P2981" s="5"/>
    </row>
    <row r="2982" spans="2:16" s="8" customFormat="1" ht="12.75" hidden="1" customHeight="1">
      <c r="B2982" s="37"/>
      <c r="C2982" s="37"/>
      <c r="D2982" s="38"/>
      <c r="E2982" s="38"/>
      <c r="F2982" s="39"/>
      <c r="K2982" s="5"/>
      <c r="L2982" s="5"/>
      <c r="M2982" s="5"/>
      <c r="N2982" s="5"/>
      <c r="O2982" s="5"/>
      <c r="P2982" s="5"/>
    </row>
    <row r="2983" spans="2:16" s="8" customFormat="1" ht="12.75" hidden="1" customHeight="1">
      <c r="B2983" s="37"/>
      <c r="C2983" s="37"/>
      <c r="D2983" s="38"/>
      <c r="E2983" s="38"/>
      <c r="F2983" s="39"/>
      <c r="K2983" s="5"/>
      <c r="L2983" s="5"/>
      <c r="M2983" s="5"/>
      <c r="N2983" s="5"/>
      <c r="O2983" s="5"/>
      <c r="P2983" s="5"/>
    </row>
    <row r="2984" spans="2:16" s="8" customFormat="1" ht="12.75" hidden="1" customHeight="1">
      <c r="B2984" s="37"/>
      <c r="C2984" s="37"/>
      <c r="D2984" s="38"/>
      <c r="E2984" s="38"/>
      <c r="F2984" s="39"/>
      <c r="K2984" s="5"/>
      <c r="L2984" s="5"/>
      <c r="M2984" s="5"/>
      <c r="N2984" s="5"/>
      <c r="O2984" s="5"/>
      <c r="P2984" s="5"/>
    </row>
    <row r="2985" spans="2:16" s="8" customFormat="1" ht="12.75" hidden="1" customHeight="1">
      <c r="B2985" s="37"/>
      <c r="C2985" s="37"/>
      <c r="D2985" s="38"/>
      <c r="E2985" s="38"/>
      <c r="F2985" s="39"/>
      <c r="K2985" s="5"/>
      <c r="L2985" s="5"/>
      <c r="M2985" s="5"/>
      <c r="N2985" s="5"/>
      <c r="O2985" s="5"/>
      <c r="P2985" s="5"/>
    </row>
    <row r="2986" spans="2:16" s="8" customFormat="1" ht="12.75" hidden="1" customHeight="1">
      <c r="B2986" s="37"/>
      <c r="C2986" s="37"/>
      <c r="D2986" s="38"/>
      <c r="E2986" s="38"/>
      <c r="F2986" s="39"/>
      <c r="K2986" s="5"/>
      <c r="L2986" s="5"/>
      <c r="M2986" s="5"/>
      <c r="N2986" s="5"/>
      <c r="O2986" s="5"/>
      <c r="P2986" s="5"/>
    </row>
    <row r="2987" spans="2:16" s="8" customFormat="1" ht="12.75" hidden="1" customHeight="1">
      <c r="B2987" s="37"/>
      <c r="C2987" s="37"/>
      <c r="D2987" s="38"/>
      <c r="E2987" s="38"/>
      <c r="F2987" s="39"/>
      <c r="K2987" s="5"/>
      <c r="L2987" s="5"/>
      <c r="M2987" s="5"/>
      <c r="N2987" s="5"/>
      <c r="O2987" s="5"/>
      <c r="P2987" s="5"/>
    </row>
    <row r="2988" spans="2:16" s="8" customFormat="1" ht="12.75" hidden="1" customHeight="1">
      <c r="B2988" s="37"/>
      <c r="C2988" s="37"/>
      <c r="D2988" s="38"/>
      <c r="E2988" s="38"/>
      <c r="F2988" s="39"/>
      <c r="K2988" s="5"/>
      <c r="L2988" s="5"/>
      <c r="M2988" s="5"/>
      <c r="N2988" s="5"/>
      <c r="O2988" s="5"/>
      <c r="P2988" s="5"/>
    </row>
    <row r="2989" spans="2:16" s="8" customFormat="1" ht="12.75" hidden="1" customHeight="1">
      <c r="B2989" s="37"/>
      <c r="C2989" s="37"/>
      <c r="D2989" s="38"/>
      <c r="E2989" s="38"/>
      <c r="F2989" s="39"/>
      <c r="K2989" s="5"/>
      <c r="L2989" s="5"/>
      <c r="M2989" s="5"/>
      <c r="N2989" s="5"/>
      <c r="O2989" s="5"/>
      <c r="P2989" s="5"/>
    </row>
    <row r="2990" spans="2:16" s="8" customFormat="1" ht="12.75" hidden="1" customHeight="1">
      <c r="B2990" s="37"/>
      <c r="C2990" s="37"/>
      <c r="D2990" s="38"/>
      <c r="E2990" s="38"/>
      <c r="F2990" s="39"/>
      <c r="K2990" s="5"/>
      <c r="L2990" s="5"/>
      <c r="M2990" s="5"/>
      <c r="N2990" s="5"/>
      <c r="O2990" s="5"/>
      <c r="P2990" s="5"/>
    </row>
    <row r="2991" spans="2:16" s="8" customFormat="1" ht="12.75" hidden="1" customHeight="1">
      <c r="B2991" s="37"/>
      <c r="C2991" s="37"/>
      <c r="D2991" s="38"/>
      <c r="E2991" s="38"/>
      <c r="F2991" s="39"/>
      <c r="K2991" s="5"/>
      <c r="L2991" s="5"/>
      <c r="M2991" s="5"/>
      <c r="N2991" s="5"/>
      <c r="O2991" s="5"/>
      <c r="P2991" s="5"/>
    </row>
    <row r="2992" spans="2:16" s="8" customFormat="1" ht="12.75" hidden="1" customHeight="1">
      <c r="B2992" s="37"/>
      <c r="C2992" s="37"/>
      <c r="D2992" s="38"/>
      <c r="E2992" s="38"/>
      <c r="F2992" s="39"/>
      <c r="K2992" s="5"/>
      <c r="L2992" s="5"/>
      <c r="M2992" s="5"/>
      <c r="N2992" s="5"/>
      <c r="O2992" s="5"/>
      <c r="P2992" s="5"/>
    </row>
    <row r="2993" spans="2:16" s="8" customFormat="1" ht="12.75" hidden="1" customHeight="1">
      <c r="B2993" s="37"/>
      <c r="C2993" s="37"/>
      <c r="D2993" s="38"/>
      <c r="E2993" s="38"/>
      <c r="F2993" s="39"/>
      <c r="K2993" s="5"/>
      <c r="L2993" s="5"/>
      <c r="M2993" s="5"/>
      <c r="N2993" s="5"/>
      <c r="O2993" s="5"/>
      <c r="P2993" s="5"/>
    </row>
    <row r="2994" spans="2:16" s="8" customFormat="1" ht="12.75" hidden="1" customHeight="1">
      <c r="B2994" s="37"/>
      <c r="C2994" s="37"/>
      <c r="D2994" s="38"/>
      <c r="E2994" s="38"/>
      <c r="F2994" s="39"/>
      <c r="K2994" s="5"/>
      <c r="L2994" s="5"/>
      <c r="M2994" s="5"/>
      <c r="N2994" s="5"/>
      <c r="O2994" s="5"/>
      <c r="P2994" s="5"/>
    </row>
    <row r="2995" spans="2:16" s="8" customFormat="1" ht="12.75" hidden="1" customHeight="1">
      <c r="B2995" s="37"/>
      <c r="C2995" s="37"/>
      <c r="D2995" s="38"/>
      <c r="E2995" s="38"/>
      <c r="F2995" s="39"/>
      <c r="K2995" s="5"/>
      <c r="L2995" s="5"/>
      <c r="M2995" s="5"/>
      <c r="N2995" s="5"/>
      <c r="O2995" s="5"/>
      <c r="P2995" s="5"/>
    </row>
    <row r="2996" spans="2:16" s="8" customFormat="1" ht="12.75" hidden="1" customHeight="1">
      <c r="B2996" s="37"/>
      <c r="C2996" s="37"/>
      <c r="D2996" s="38"/>
      <c r="E2996" s="38"/>
      <c r="F2996" s="39"/>
      <c r="K2996" s="5"/>
      <c r="L2996" s="5"/>
      <c r="M2996" s="5"/>
      <c r="N2996" s="5"/>
      <c r="O2996" s="5"/>
      <c r="P2996" s="5"/>
    </row>
    <row r="2997" spans="2:16" s="8" customFormat="1" ht="12.75" hidden="1" customHeight="1">
      <c r="B2997" s="37"/>
      <c r="C2997" s="37"/>
      <c r="D2997" s="38"/>
      <c r="E2997" s="38"/>
      <c r="F2997" s="39"/>
      <c r="K2997" s="5"/>
      <c r="L2997" s="5"/>
      <c r="M2997" s="5"/>
      <c r="N2997" s="5"/>
      <c r="O2997" s="5"/>
      <c r="P2997" s="5"/>
    </row>
    <row r="2998" spans="2:16" s="8" customFormat="1" ht="12.75" hidden="1" customHeight="1">
      <c r="B2998" s="37"/>
      <c r="C2998" s="37"/>
      <c r="D2998" s="38"/>
      <c r="E2998" s="38"/>
      <c r="F2998" s="39"/>
      <c r="K2998" s="5"/>
      <c r="L2998" s="5"/>
      <c r="M2998" s="5"/>
      <c r="N2998" s="5"/>
      <c r="O2998" s="5"/>
      <c r="P2998" s="5"/>
    </row>
    <row r="2999" spans="2:16" s="8" customFormat="1" ht="12.75" hidden="1" customHeight="1">
      <c r="B2999" s="37"/>
      <c r="C2999" s="37"/>
      <c r="D2999" s="38"/>
      <c r="E2999" s="38"/>
      <c r="F2999" s="39"/>
      <c r="K2999" s="5"/>
      <c r="L2999" s="5"/>
      <c r="M2999" s="5"/>
      <c r="N2999" s="5"/>
      <c r="O2999" s="5"/>
      <c r="P2999" s="5"/>
    </row>
    <row r="3000" spans="2:16" s="8" customFormat="1" ht="12.75" hidden="1" customHeight="1">
      <c r="B3000" s="37"/>
      <c r="C3000" s="37"/>
      <c r="D3000" s="38"/>
      <c r="E3000" s="38"/>
      <c r="F3000" s="39"/>
      <c r="K3000" s="5"/>
      <c r="L3000" s="5"/>
      <c r="M3000" s="5"/>
      <c r="N3000" s="5"/>
      <c r="O3000" s="5"/>
      <c r="P3000" s="5"/>
    </row>
    <row r="3001" spans="2:16" s="8" customFormat="1" ht="12.75" hidden="1" customHeight="1">
      <c r="B3001" s="37"/>
      <c r="C3001" s="37"/>
      <c r="D3001" s="38"/>
      <c r="E3001" s="38"/>
      <c r="F3001" s="39"/>
      <c r="K3001" s="5"/>
      <c r="L3001" s="5"/>
      <c r="M3001" s="5"/>
      <c r="N3001" s="5"/>
      <c r="O3001" s="5"/>
      <c r="P3001" s="5"/>
    </row>
    <row r="3002" spans="2:16" s="8" customFormat="1" ht="12.75" hidden="1" customHeight="1">
      <c r="B3002" s="37"/>
      <c r="C3002" s="37"/>
      <c r="D3002" s="38"/>
      <c r="E3002" s="38"/>
      <c r="F3002" s="39"/>
      <c r="K3002" s="5"/>
      <c r="L3002" s="5"/>
      <c r="M3002" s="5"/>
      <c r="N3002" s="5"/>
      <c r="O3002" s="5"/>
      <c r="P3002" s="5"/>
    </row>
    <row r="3003" spans="2:16" s="8" customFormat="1" ht="12.75" hidden="1" customHeight="1">
      <c r="B3003" s="37"/>
      <c r="C3003" s="37"/>
      <c r="D3003" s="38"/>
      <c r="E3003" s="38"/>
      <c r="F3003" s="39"/>
      <c r="K3003" s="5"/>
      <c r="L3003" s="5"/>
      <c r="M3003" s="5"/>
      <c r="N3003" s="5"/>
      <c r="O3003" s="5"/>
      <c r="P3003" s="5"/>
    </row>
    <row r="3004" spans="2:16" s="8" customFormat="1" ht="12.75" hidden="1" customHeight="1">
      <c r="B3004" s="37"/>
      <c r="C3004" s="37"/>
      <c r="D3004" s="38"/>
      <c r="E3004" s="38"/>
      <c r="F3004" s="39"/>
      <c r="K3004" s="5"/>
      <c r="L3004" s="5"/>
      <c r="M3004" s="5"/>
      <c r="N3004" s="5"/>
      <c r="O3004" s="5"/>
      <c r="P3004" s="5"/>
    </row>
    <row r="3005" spans="2:16" s="8" customFormat="1" ht="12.75" hidden="1" customHeight="1">
      <c r="B3005" s="37"/>
      <c r="C3005" s="37"/>
      <c r="D3005" s="38"/>
      <c r="E3005" s="38"/>
      <c r="F3005" s="39"/>
      <c r="K3005" s="5"/>
      <c r="L3005" s="5"/>
      <c r="M3005" s="5"/>
      <c r="N3005" s="5"/>
      <c r="O3005" s="5"/>
      <c r="P3005" s="5"/>
    </row>
    <row r="3006" spans="2:16" s="8" customFormat="1" ht="12.75" hidden="1" customHeight="1">
      <c r="B3006" s="37"/>
      <c r="C3006" s="37"/>
      <c r="D3006" s="38"/>
      <c r="E3006" s="38"/>
      <c r="F3006" s="39"/>
      <c r="K3006" s="5"/>
      <c r="L3006" s="5"/>
      <c r="M3006" s="5"/>
      <c r="N3006" s="5"/>
      <c r="O3006" s="5"/>
      <c r="P3006" s="5"/>
    </row>
    <row r="3007" spans="2:16" s="8" customFormat="1" ht="12.75" hidden="1" customHeight="1">
      <c r="B3007" s="37"/>
      <c r="C3007" s="37"/>
      <c r="D3007" s="38"/>
      <c r="E3007" s="38"/>
      <c r="F3007" s="39"/>
      <c r="K3007" s="5"/>
      <c r="L3007" s="5"/>
      <c r="M3007" s="5"/>
      <c r="N3007" s="5"/>
      <c r="O3007" s="5"/>
      <c r="P3007" s="5"/>
    </row>
    <row r="3008" spans="2:16" s="8" customFormat="1" ht="12.75" hidden="1" customHeight="1">
      <c r="B3008" s="37"/>
      <c r="C3008" s="37"/>
      <c r="D3008" s="38"/>
      <c r="E3008" s="38"/>
      <c r="F3008" s="39"/>
      <c r="K3008" s="5"/>
      <c r="L3008" s="5"/>
      <c r="M3008" s="5"/>
      <c r="N3008" s="5"/>
      <c r="O3008" s="5"/>
      <c r="P3008" s="5"/>
    </row>
    <row r="3009" spans="2:16" s="8" customFormat="1" ht="12.75" hidden="1" customHeight="1">
      <c r="B3009" s="37"/>
      <c r="C3009" s="37"/>
      <c r="D3009" s="38"/>
      <c r="E3009" s="38"/>
      <c r="F3009" s="39"/>
      <c r="K3009" s="5"/>
      <c r="L3009" s="5"/>
      <c r="M3009" s="5"/>
      <c r="N3009" s="5"/>
      <c r="O3009" s="5"/>
      <c r="P3009" s="5"/>
    </row>
    <row r="3010" spans="2:16" s="8" customFormat="1" ht="12.75" hidden="1" customHeight="1">
      <c r="B3010" s="37"/>
      <c r="C3010" s="37"/>
      <c r="D3010" s="38"/>
      <c r="E3010" s="38"/>
      <c r="F3010" s="39"/>
      <c r="K3010" s="5"/>
      <c r="L3010" s="5"/>
      <c r="M3010" s="5"/>
      <c r="N3010" s="5"/>
      <c r="O3010" s="5"/>
      <c r="P3010" s="5"/>
    </row>
    <row r="3011" spans="2:16" s="8" customFormat="1" ht="12.75" hidden="1" customHeight="1">
      <c r="B3011" s="37"/>
      <c r="C3011" s="37"/>
      <c r="D3011" s="38"/>
      <c r="E3011" s="38"/>
      <c r="F3011" s="39"/>
      <c r="K3011" s="5"/>
      <c r="L3011" s="5"/>
      <c r="M3011" s="5"/>
      <c r="N3011" s="5"/>
      <c r="O3011" s="5"/>
      <c r="P3011" s="5"/>
    </row>
    <row r="3012" spans="2:16" s="8" customFormat="1" ht="12.75" hidden="1" customHeight="1">
      <c r="B3012" s="37"/>
      <c r="C3012" s="37"/>
      <c r="D3012" s="38"/>
      <c r="E3012" s="38"/>
      <c r="F3012" s="39"/>
      <c r="K3012" s="5"/>
      <c r="L3012" s="5"/>
      <c r="M3012" s="5"/>
      <c r="N3012" s="5"/>
      <c r="O3012" s="5"/>
      <c r="P3012" s="5"/>
    </row>
    <row r="3013" spans="2:16" s="8" customFormat="1" ht="12.75" hidden="1" customHeight="1">
      <c r="B3013" s="37"/>
      <c r="C3013" s="37"/>
      <c r="D3013" s="38"/>
      <c r="E3013" s="38"/>
      <c r="F3013" s="39"/>
      <c r="K3013" s="5"/>
      <c r="L3013" s="5"/>
      <c r="M3013" s="5"/>
      <c r="N3013" s="5"/>
      <c r="O3013" s="5"/>
      <c r="P3013" s="5"/>
    </row>
    <row r="3014" spans="2:16" s="8" customFormat="1" ht="12.75" hidden="1" customHeight="1">
      <c r="B3014" s="37"/>
      <c r="C3014" s="37"/>
      <c r="D3014" s="38"/>
      <c r="E3014" s="38"/>
      <c r="F3014" s="39"/>
      <c r="K3014" s="5"/>
      <c r="L3014" s="5"/>
      <c r="M3014" s="5"/>
      <c r="N3014" s="5"/>
      <c r="O3014" s="5"/>
      <c r="P3014" s="5"/>
    </row>
    <row r="3015" spans="2:16" s="8" customFormat="1" ht="12.75" hidden="1" customHeight="1">
      <c r="B3015" s="37"/>
      <c r="C3015" s="37"/>
      <c r="D3015" s="38"/>
      <c r="E3015" s="38"/>
      <c r="F3015" s="39"/>
      <c r="K3015" s="5"/>
      <c r="L3015" s="5"/>
      <c r="M3015" s="5"/>
      <c r="N3015" s="5"/>
      <c r="O3015" s="5"/>
      <c r="P3015" s="5"/>
    </row>
    <row r="3016" spans="2:16" s="8" customFormat="1" ht="12.75" hidden="1" customHeight="1">
      <c r="B3016" s="37"/>
      <c r="C3016" s="37"/>
      <c r="D3016" s="38"/>
      <c r="E3016" s="38"/>
      <c r="F3016" s="39"/>
      <c r="K3016" s="5"/>
      <c r="L3016" s="5"/>
      <c r="M3016" s="5"/>
      <c r="N3016" s="5"/>
      <c r="O3016" s="5"/>
      <c r="P3016" s="5"/>
    </row>
    <row r="3017" spans="2:16" s="8" customFormat="1" ht="12.75" hidden="1" customHeight="1">
      <c r="B3017" s="37"/>
      <c r="C3017" s="37"/>
      <c r="D3017" s="38"/>
      <c r="E3017" s="38"/>
      <c r="F3017" s="39"/>
      <c r="K3017" s="5"/>
      <c r="L3017" s="5"/>
      <c r="M3017" s="5"/>
      <c r="N3017" s="5"/>
      <c r="O3017" s="5"/>
      <c r="P3017" s="5"/>
    </row>
    <row r="3018" spans="2:16" s="8" customFormat="1" ht="12.75" hidden="1" customHeight="1">
      <c r="B3018" s="37"/>
      <c r="C3018" s="37"/>
      <c r="D3018" s="38"/>
      <c r="E3018" s="38"/>
      <c r="F3018" s="39"/>
      <c r="K3018" s="5"/>
      <c r="L3018" s="5"/>
      <c r="M3018" s="5"/>
      <c r="N3018" s="5"/>
      <c r="O3018" s="5"/>
      <c r="P3018" s="5"/>
    </row>
    <row r="3019" spans="2:16" s="8" customFormat="1" ht="12.75" hidden="1" customHeight="1">
      <c r="B3019" s="37"/>
      <c r="C3019" s="37"/>
      <c r="D3019" s="38"/>
      <c r="E3019" s="38"/>
      <c r="F3019" s="39"/>
      <c r="K3019" s="5"/>
      <c r="L3019" s="5"/>
      <c r="M3019" s="5"/>
      <c r="N3019" s="5"/>
      <c r="O3019" s="5"/>
      <c r="P3019" s="5"/>
    </row>
    <row r="3020" spans="2:16" s="8" customFormat="1" ht="12.75" hidden="1" customHeight="1">
      <c r="B3020" s="37"/>
      <c r="C3020" s="37"/>
      <c r="D3020" s="38"/>
      <c r="E3020" s="38"/>
      <c r="F3020" s="39"/>
      <c r="K3020" s="5"/>
      <c r="L3020" s="5"/>
      <c r="M3020" s="5"/>
      <c r="N3020" s="5"/>
      <c r="O3020" s="5"/>
      <c r="P3020" s="5"/>
    </row>
    <row r="3021" spans="2:16" s="8" customFormat="1" ht="12.75" hidden="1" customHeight="1">
      <c r="B3021" s="37"/>
      <c r="C3021" s="37"/>
      <c r="D3021" s="38"/>
      <c r="E3021" s="38"/>
      <c r="F3021" s="39"/>
      <c r="K3021" s="5"/>
      <c r="L3021" s="5"/>
      <c r="M3021" s="5"/>
      <c r="N3021" s="5"/>
      <c r="O3021" s="5"/>
      <c r="P3021" s="5"/>
    </row>
    <row r="3022" spans="2:16" ht="0" hidden="1" customHeight="1">
      <c r="C3022" s="37"/>
      <c r="D3022" s="38"/>
    </row>
    <row r="3023" spans="2:16" ht="0" hidden="1" customHeight="1">
      <c r="C3023" s="37"/>
      <c r="D3023" s="38"/>
    </row>
    <row r="3024" spans="2:16" ht="0" hidden="1" customHeight="1">
      <c r="C3024" s="37"/>
      <c r="D3024" s="38"/>
    </row>
    <row r="3025" spans="3:4" ht="0" hidden="1" customHeight="1">
      <c r="C3025" s="37"/>
      <c r="D3025" s="38"/>
    </row>
  </sheetData>
  <sheetProtection selectLockedCells="1"/>
  <mergeCells count="3">
    <mergeCell ref="F6:F8"/>
    <mergeCell ref="D32:D34"/>
    <mergeCell ref="C32:C34"/>
  </mergeCells>
  <dataValidations count="1">
    <dataValidation type="list" allowBlank="1" showInputMessage="1" showErrorMessage="1" sqref="D3">
      <formula1>Region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BN52"/>
  <sheetViews>
    <sheetView showGridLines="0" topLeftCell="M1" zoomScale="90" zoomScaleNormal="90" workbookViewId="0">
      <selection activeCell="BA15" sqref="BA15"/>
    </sheetView>
  </sheetViews>
  <sheetFormatPr defaultRowHeight="16.5"/>
  <cols>
    <col min="1" max="1" width="2.7109375" customWidth="1"/>
    <col min="2" max="2" width="14.5703125" customWidth="1"/>
    <col min="3" max="3" width="2.7109375" customWidth="1"/>
    <col min="4" max="4" width="14.5703125" customWidth="1"/>
    <col min="5" max="5" width="2.7109375" customWidth="1"/>
    <col min="6" max="6" width="14.5703125" customWidth="1"/>
    <col min="7" max="7" width="2.7109375" customWidth="1"/>
    <col min="8" max="8" width="14.5703125" customWidth="1"/>
    <col min="9" max="9" width="2.7109375" customWidth="1"/>
    <col min="10" max="10" width="9.7109375" bestFit="1" customWidth="1"/>
    <col min="11" max="11" width="2.7109375" customWidth="1"/>
    <col min="12" max="12" width="9.7109375" bestFit="1" customWidth="1"/>
    <col min="13" max="13" width="2.7109375" customWidth="1"/>
    <col min="14" max="14" width="9.7109375" bestFit="1" customWidth="1"/>
    <col min="15" max="15" width="2.7109375" customWidth="1"/>
    <col min="16" max="16" width="9.7109375" bestFit="1" customWidth="1"/>
    <col min="17" max="17" width="2.7109375" customWidth="1"/>
    <col min="18" max="18" width="9.7109375" bestFit="1" customWidth="1"/>
    <col min="19" max="19" width="2.7109375" customWidth="1"/>
    <col min="20" max="20" width="9.7109375" bestFit="1" customWidth="1"/>
    <col min="21" max="21" width="2.7109375" customWidth="1"/>
    <col min="22" max="22" width="9.7109375" bestFit="1" customWidth="1"/>
    <col min="23" max="23" width="2.7109375" customWidth="1"/>
    <col min="24" max="24" width="9.7109375" bestFit="1" customWidth="1"/>
    <col min="25" max="25" width="2.7109375" customWidth="1"/>
    <col min="27" max="27" width="2.7109375" customWidth="1"/>
    <col min="28" max="28" width="4.85546875" bestFit="1" customWidth="1"/>
    <col min="29" max="29" width="2.7109375" customWidth="1"/>
    <col min="30" max="30" width="19.85546875" bestFit="1" customWidth="1"/>
    <col min="31" max="31" width="2.7109375" customWidth="1"/>
    <col min="32" max="32" width="12.28515625" customWidth="1"/>
    <col min="33" max="33" width="5" bestFit="1" customWidth="1"/>
    <col min="34" max="34" width="4.85546875" bestFit="1" customWidth="1"/>
    <col min="35" max="35" width="2.7109375" customWidth="1"/>
    <col min="36" max="36" width="13.140625" bestFit="1" customWidth="1"/>
    <col min="37" max="37" width="2.7109375" customWidth="1"/>
    <col min="38" max="38" width="13.140625" customWidth="1"/>
    <col min="39" max="39" width="2.7109375" customWidth="1"/>
    <col min="40" max="40" width="13.140625" customWidth="1"/>
    <col min="41" max="41" width="2.7109375" customWidth="1"/>
    <col min="42" max="42" width="13.140625" customWidth="1"/>
    <col min="43" max="43" width="2.7109375" customWidth="1"/>
    <col min="44" max="44" width="13.140625" customWidth="1"/>
    <col min="45" max="45" width="2.7109375" customWidth="1"/>
    <col min="46" max="46" width="1.7109375" customWidth="1"/>
    <col min="47" max="47" width="2.7109375" customWidth="1"/>
    <col min="48" max="48" width="14.85546875" customWidth="1"/>
    <col min="49" max="49" width="8.42578125" bestFit="1" customWidth="1"/>
    <col min="50" max="50" width="5.5703125" bestFit="1" customWidth="1"/>
    <col min="51" max="51" width="2.7109375" customWidth="1"/>
    <col min="52" max="52" width="25.42578125" bestFit="1" customWidth="1"/>
    <col min="53" max="54" width="12.7109375" customWidth="1"/>
    <col min="55" max="55" width="2.7109375" customWidth="1"/>
    <col min="56" max="56" width="18.85546875" customWidth="1"/>
    <col min="57" max="58" width="11.140625" customWidth="1"/>
    <col min="59" max="59" width="2.7109375" customWidth="1"/>
    <col min="61" max="61" width="9.85546875" bestFit="1" customWidth="1"/>
    <col min="62" max="62" width="38.42578125" bestFit="1" customWidth="1"/>
    <col min="63" max="63" width="35.28515625" bestFit="1" customWidth="1"/>
    <col min="65" max="65" width="12.85546875" customWidth="1"/>
    <col min="66" max="66" width="52" customWidth="1"/>
  </cols>
  <sheetData>
    <row r="1" spans="1:66" ht="25.5">
      <c r="A1" s="13" t="s">
        <v>25</v>
      </c>
      <c r="B1" s="4"/>
      <c r="C1" s="4"/>
      <c r="D1" s="4"/>
      <c r="F1" s="4"/>
      <c r="H1" s="4"/>
      <c r="K1" s="23" t="s">
        <v>58</v>
      </c>
      <c r="L1" t="e">
        <f>IF(RegionSelection="Mile High","MileHigh",IF(RegionSelection="Twin Cities","TwinCities",RegionSelection))</f>
        <v>#REF!</v>
      </c>
      <c r="AT1" s="12"/>
      <c r="AU1" s="13" t="s">
        <v>24</v>
      </c>
      <c r="BH1" s="23" t="s">
        <v>137</v>
      </c>
      <c r="BI1" t="e">
        <f>RegionSelection</f>
        <v>#REF!</v>
      </c>
      <c r="BJ1" t="e">
        <f>VLOOKUP($BI$1,$BI$4:$BK$10,2,FALSE)</f>
        <v>#REF!</v>
      </c>
      <c r="BK1" t="e">
        <f>VLOOKUP($BI$1,$BI$4:$BK$10,3,FALSE)</f>
        <v>#REF!</v>
      </c>
      <c r="BN1" t="e">
        <f>VLOOKUP($BI$1,BM4:BN10,2,FALSE)</f>
        <v>#REF!</v>
      </c>
    </row>
    <row r="2" spans="1:66">
      <c r="B2" s="3" t="s">
        <v>48</v>
      </c>
      <c r="C2" s="3"/>
      <c r="D2" s="3" t="s">
        <v>34</v>
      </c>
      <c r="F2" s="3" t="s">
        <v>51</v>
      </c>
      <c r="H2" s="3" t="s">
        <v>35</v>
      </c>
      <c r="J2" s="3" t="s">
        <v>1</v>
      </c>
      <c r="L2" s="3" t="s">
        <v>2</v>
      </c>
      <c r="N2" s="3" t="s">
        <v>3</v>
      </c>
      <c r="P2" s="3" t="s">
        <v>4</v>
      </c>
      <c r="R2" s="3" t="s">
        <v>5</v>
      </c>
      <c r="T2" s="3" t="s">
        <v>6</v>
      </c>
      <c r="V2" s="3" t="s">
        <v>7</v>
      </c>
      <c r="X2" s="3" t="s">
        <v>8</v>
      </c>
      <c r="Z2" s="3" t="s">
        <v>23</v>
      </c>
      <c r="AA2" s="3"/>
      <c r="AB2" s="3" t="s">
        <v>38</v>
      </c>
      <c r="AC2" s="3"/>
      <c r="AD2" s="3" t="s">
        <v>93</v>
      </c>
      <c r="AE2" s="3"/>
      <c r="AF2" s="3" t="s">
        <v>61</v>
      </c>
      <c r="AG2" s="3"/>
      <c r="AH2" s="3" t="s">
        <v>62</v>
      </c>
      <c r="AI2" s="3"/>
      <c r="AJ2" s="3" t="s">
        <v>94</v>
      </c>
      <c r="AK2" s="3"/>
      <c r="AL2" s="3" t="s">
        <v>125</v>
      </c>
      <c r="AM2" s="3"/>
      <c r="AN2" s="3" t="s">
        <v>138</v>
      </c>
      <c r="AO2" s="3"/>
      <c r="AP2" s="3" t="s">
        <v>140</v>
      </c>
      <c r="AQ2" s="3"/>
      <c r="AR2" s="3" t="s">
        <v>140</v>
      </c>
      <c r="AT2" s="12"/>
      <c r="AV2" s="3" t="s">
        <v>26</v>
      </c>
      <c r="AZ2" s="3" t="s">
        <v>33</v>
      </c>
      <c r="BD2" s="3" t="s">
        <v>40</v>
      </c>
    </row>
    <row r="3" spans="1:66">
      <c r="B3" t="s">
        <v>0</v>
      </c>
      <c r="D3" t="s">
        <v>46</v>
      </c>
      <c r="F3" t="s">
        <v>27</v>
      </c>
      <c r="H3" t="s">
        <v>55</v>
      </c>
      <c r="J3" t="s">
        <v>2</v>
      </c>
      <c r="L3" t="s">
        <v>10</v>
      </c>
      <c r="N3" t="s">
        <v>18</v>
      </c>
      <c r="P3" t="s">
        <v>11</v>
      </c>
      <c r="R3" t="s">
        <v>9</v>
      </c>
      <c r="T3" t="s">
        <v>17</v>
      </c>
      <c r="V3" t="s">
        <v>20</v>
      </c>
      <c r="X3" t="s">
        <v>13</v>
      </c>
      <c r="Z3" t="s">
        <v>36</v>
      </c>
      <c r="AB3" t="s">
        <v>36</v>
      </c>
      <c r="AD3" t="s">
        <v>91</v>
      </c>
      <c r="AF3" t="s">
        <v>63</v>
      </c>
      <c r="AG3" t="e">
        <f>MATCH(ESTCompMO,Month,0)</f>
        <v>#NAME?</v>
      </c>
      <c r="AH3" s="24">
        <v>42736</v>
      </c>
      <c r="AJ3" s="24" t="s">
        <v>95</v>
      </c>
      <c r="AK3" s="24"/>
      <c r="AL3" s="24" t="s">
        <v>126</v>
      </c>
      <c r="AM3" s="24"/>
      <c r="AN3" s="24" t="s">
        <v>47</v>
      </c>
      <c r="AO3" s="24"/>
      <c r="AP3" s="24" t="s">
        <v>55</v>
      </c>
      <c r="AQ3" s="24"/>
      <c r="AR3" s="118">
        <v>12</v>
      </c>
      <c r="AT3" s="12"/>
      <c r="AW3" s="14" t="s">
        <v>27</v>
      </c>
      <c r="AX3" s="14" t="s">
        <v>28</v>
      </c>
      <c r="BA3" s="14" t="s">
        <v>31</v>
      </c>
      <c r="BB3" s="14" t="s">
        <v>32</v>
      </c>
      <c r="BE3" s="14" t="s">
        <v>80</v>
      </c>
      <c r="BF3" s="14" t="s">
        <v>79</v>
      </c>
      <c r="BI3" s="115" t="s">
        <v>1</v>
      </c>
      <c r="BJ3" s="115" t="s">
        <v>129</v>
      </c>
      <c r="BK3" s="115" t="s">
        <v>130</v>
      </c>
      <c r="BM3" s="116" t="s">
        <v>131</v>
      </c>
    </row>
    <row r="4" spans="1:66">
      <c r="B4" t="s">
        <v>49</v>
      </c>
      <c r="D4" t="s">
        <v>50</v>
      </c>
      <c r="F4" t="s">
        <v>28</v>
      </c>
      <c r="H4" t="s">
        <v>56</v>
      </c>
      <c r="J4" t="s">
        <v>3</v>
      </c>
      <c r="P4" t="s">
        <v>16</v>
      </c>
      <c r="R4" t="s">
        <v>19</v>
      </c>
      <c r="T4" t="s">
        <v>20</v>
      </c>
      <c r="X4" t="s">
        <v>14</v>
      </c>
      <c r="Z4" t="s">
        <v>37</v>
      </c>
      <c r="AB4" t="s">
        <v>37</v>
      </c>
      <c r="AD4" t="s">
        <v>84</v>
      </c>
      <c r="AF4" t="s">
        <v>64</v>
      </c>
      <c r="AH4" s="24">
        <v>43101</v>
      </c>
      <c r="AJ4" s="24" t="s">
        <v>96</v>
      </c>
      <c r="AK4" s="24"/>
      <c r="AL4" s="24" t="s">
        <v>127</v>
      </c>
      <c r="AM4" s="24"/>
      <c r="AN4" s="24" t="s">
        <v>139</v>
      </c>
      <c r="AO4" s="24"/>
      <c r="AP4" s="24" t="s">
        <v>56</v>
      </c>
      <c r="AQ4" s="24"/>
      <c r="AR4" s="118">
        <v>24</v>
      </c>
      <c r="AT4" s="12"/>
      <c r="AV4" s="15" t="s">
        <v>29</v>
      </c>
      <c r="AW4" s="16">
        <v>0.3</v>
      </c>
      <c r="AX4" s="16">
        <v>0.2</v>
      </c>
      <c r="AZ4" s="15" t="s">
        <v>2</v>
      </c>
      <c r="BA4" s="19">
        <v>203</v>
      </c>
      <c r="BB4" s="19">
        <v>1446</v>
      </c>
      <c r="BD4" s="15" t="s">
        <v>2</v>
      </c>
      <c r="BE4" s="17">
        <v>0.25559999999999999</v>
      </c>
      <c r="BF4" s="17">
        <v>0.38300000000000001</v>
      </c>
      <c r="BI4" s="15" t="s">
        <v>2</v>
      </c>
      <c r="BJ4" s="15" t="s">
        <v>142</v>
      </c>
      <c r="BK4" s="15" t="s">
        <v>148</v>
      </c>
      <c r="BM4" t="s">
        <v>2</v>
      </c>
      <c r="BN4" s="117" t="s">
        <v>132</v>
      </c>
    </row>
    <row r="5" spans="1:66">
      <c r="B5" t="s">
        <v>47</v>
      </c>
      <c r="F5" t="s">
        <v>112</v>
      </c>
      <c r="H5" t="s">
        <v>57</v>
      </c>
      <c r="J5" t="s">
        <v>4</v>
      </c>
      <c r="R5" t="s">
        <v>12</v>
      </c>
      <c r="X5" t="s">
        <v>15</v>
      </c>
      <c r="AB5" t="s">
        <v>39</v>
      </c>
      <c r="AD5" t="s">
        <v>88</v>
      </c>
      <c r="AF5" t="s">
        <v>65</v>
      </c>
      <c r="AH5" s="24">
        <v>43466</v>
      </c>
      <c r="AJ5" s="24" t="s">
        <v>113</v>
      </c>
      <c r="AK5" s="24"/>
      <c r="AL5" s="24" t="s">
        <v>128</v>
      </c>
      <c r="AM5" s="24"/>
      <c r="AN5" s="24" t="s">
        <v>128</v>
      </c>
      <c r="AO5" s="24"/>
      <c r="AP5" t="s">
        <v>154</v>
      </c>
      <c r="AR5" s="118">
        <v>36</v>
      </c>
      <c r="AT5" s="12"/>
      <c r="AV5" s="15" t="s">
        <v>30</v>
      </c>
      <c r="AW5" s="17">
        <v>5.0000000000000001E-3</v>
      </c>
      <c r="AX5" s="17">
        <v>5.0000000000000001E-3</v>
      </c>
      <c r="AZ5" s="15" t="s">
        <v>3</v>
      </c>
      <c r="BA5" s="19">
        <v>197</v>
      </c>
      <c r="BB5" s="19">
        <v>1101</v>
      </c>
      <c r="BD5" s="15" t="s">
        <v>3</v>
      </c>
      <c r="BE5" s="17">
        <v>0.2402</v>
      </c>
      <c r="BF5" s="17">
        <v>0.32340000000000002</v>
      </c>
      <c r="BI5" s="15" t="s">
        <v>3</v>
      </c>
      <c r="BJ5" s="15" t="s">
        <v>143</v>
      </c>
      <c r="BK5" s="15" t="s">
        <v>149</v>
      </c>
      <c r="BM5" t="s">
        <v>3</v>
      </c>
      <c r="BN5" s="117" t="s">
        <v>155</v>
      </c>
    </row>
    <row r="6" spans="1:66">
      <c r="B6" t="s">
        <v>124</v>
      </c>
      <c r="F6" t="s">
        <v>52</v>
      </c>
      <c r="J6" t="s">
        <v>5</v>
      </c>
      <c r="X6" t="s">
        <v>21</v>
      </c>
      <c r="AD6" t="s">
        <v>90</v>
      </c>
      <c r="AF6" t="s">
        <v>66</v>
      </c>
      <c r="AH6" s="24">
        <v>43831</v>
      </c>
      <c r="AJ6" s="24"/>
      <c r="AK6" s="24"/>
      <c r="AL6" s="24" t="s">
        <v>124</v>
      </c>
      <c r="AM6" s="24"/>
      <c r="AN6" s="24"/>
      <c r="AO6" s="24"/>
      <c r="AP6" s="24" t="s">
        <v>141</v>
      </c>
      <c r="AQ6" s="24"/>
      <c r="AR6" s="118">
        <v>48</v>
      </c>
      <c r="AT6" s="12"/>
      <c r="AZ6" s="15" t="s">
        <v>4</v>
      </c>
      <c r="BA6" s="19">
        <v>200</v>
      </c>
      <c r="BB6" s="19">
        <v>1093</v>
      </c>
      <c r="BD6" s="15" t="s">
        <v>4</v>
      </c>
      <c r="BE6" s="64">
        <v>0.2447</v>
      </c>
      <c r="BF6" s="17">
        <v>0.39389999999999997</v>
      </c>
      <c r="BI6" s="15" t="s">
        <v>4</v>
      </c>
      <c r="BJ6" s="15" t="s">
        <v>144</v>
      </c>
      <c r="BK6" s="15" t="s">
        <v>150</v>
      </c>
      <c r="BM6" t="s">
        <v>4</v>
      </c>
      <c r="BN6" s="117" t="s">
        <v>135</v>
      </c>
    </row>
    <row r="7" spans="1:66">
      <c r="F7" t="s">
        <v>53</v>
      </c>
      <c r="J7" t="s">
        <v>6</v>
      </c>
      <c r="AD7" t="s">
        <v>85</v>
      </c>
      <c r="AF7" t="s">
        <v>74</v>
      </c>
      <c r="AH7" s="24">
        <v>44197</v>
      </c>
      <c r="AJ7" s="24"/>
      <c r="AK7" s="24"/>
      <c r="AL7" s="24" t="s">
        <v>47</v>
      </c>
      <c r="AM7" s="24"/>
      <c r="AN7" s="24"/>
      <c r="AO7" s="24"/>
      <c r="AP7" s="24"/>
      <c r="AQ7" s="24"/>
      <c r="AR7" s="118">
        <v>60</v>
      </c>
      <c r="AT7" s="12"/>
      <c r="AZ7" s="15" t="s">
        <v>5</v>
      </c>
      <c r="BA7" s="19">
        <v>189</v>
      </c>
      <c r="BB7" s="19">
        <v>1093</v>
      </c>
      <c r="BD7" s="15" t="s">
        <v>5</v>
      </c>
      <c r="BE7" s="17">
        <v>0.30170000000000002</v>
      </c>
      <c r="BF7" s="17">
        <v>0.41799999999999998</v>
      </c>
      <c r="BI7" s="15" t="s">
        <v>5</v>
      </c>
      <c r="BJ7" s="15" t="s">
        <v>144</v>
      </c>
      <c r="BK7" s="15" t="s">
        <v>150</v>
      </c>
      <c r="BM7" t="s">
        <v>5</v>
      </c>
      <c r="BN7" s="117" t="s">
        <v>133</v>
      </c>
    </row>
    <row r="8" spans="1:66">
      <c r="B8" s="33"/>
      <c r="F8" t="s">
        <v>54</v>
      </c>
      <c r="J8" t="s">
        <v>7</v>
      </c>
      <c r="AD8" t="s">
        <v>87</v>
      </c>
      <c r="AF8" t="s">
        <v>67</v>
      </c>
      <c r="AH8" s="24">
        <v>44562</v>
      </c>
      <c r="AJ8" s="24"/>
      <c r="AK8" s="24"/>
      <c r="AL8" s="24"/>
      <c r="AM8" s="24"/>
      <c r="AN8" s="24"/>
      <c r="AO8" s="24"/>
      <c r="AP8" s="24"/>
      <c r="AQ8" s="24"/>
      <c r="AR8" s="24"/>
      <c r="AT8" s="12"/>
      <c r="AZ8" s="15" t="s">
        <v>6</v>
      </c>
      <c r="BA8" s="19">
        <v>189</v>
      </c>
      <c r="BB8" s="19">
        <v>899</v>
      </c>
      <c r="BD8" s="15" t="s">
        <v>6</v>
      </c>
      <c r="BE8" s="17">
        <v>0.31609999999999999</v>
      </c>
      <c r="BF8" s="17">
        <v>0.44979999999999998</v>
      </c>
      <c r="BI8" s="15" t="s">
        <v>6</v>
      </c>
      <c r="BJ8" s="15" t="s">
        <v>145</v>
      </c>
      <c r="BK8" s="15" t="s">
        <v>151</v>
      </c>
      <c r="BM8" t="s">
        <v>6</v>
      </c>
      <c r="BN8" s="117" t="s">
        <v>156</v>
      </c>
    </row>
    <row r="9" spans="1:66">
      <c r="J9" t="s">
        <v>8</v>
      </c>
      <c r="AD9" t="s">
        <v>89</v>
      </c>
      <c r="AF9" t="s">
        <v>68</v>
      </c>
      <c r="AH9" s="24">
        <v>44927</v>
      </c>
      <c r="AJ9" s="24"/>
      <c r="AK9" s="24"/>
      <c r="AL9" s="24"/>
      <c r="AM9" s="24"/>
      <c r="AN9" s="24"/>
      <c r="AO9" s="24"/>
      <c r="AP9" s="24"/>
      <c r="AQ9" s="24"/>
      <c r="AR9" s="24"/>
      <c r="AT9" s="12"/>
      <c r="AZ9" s="15" t="s">
        <v>7</v>
      </c>
      <c r="BA9" s="19">
        <v>194</v>
      </c>
      <c r="BB9" s="19">
        <v>1005</v>
      </c>
      <c r="BD9" s="15" t="s">
        <v>7</v>
      </c>
      <c r="BE9" s="17">
        <v>0.26290000000000002</v>
      </c>
      <c r="BF9" s="17">
        <v>0.39150000000000001</v>
      </c>
      <c r="BI9" s="15" t="s">
        <v>7</v>
      </c>
      <c r="BJ9" s="15" t="s">
        <v>146</v>
      </c>
      <c r="BK9" s="15" t="s">
        <v>152</v>
      </c>
      <c r="BM9" t="s">
        <v>7</v>
      </c>
      <c r="BN9" s="117" t="s">
        <v>136</v>
      </c>
    </row>
    <row r="10" spans="1:66">
      <c r="AD10" t="s">
        <v>86</v>
      </c>
      <c r="AF10" t="s">
        <v>69</v>
      </c>
      <c r="AH10" s="24">
        <v>45292</v>
      </c>
      <c r="AJ10" s="24"/>
      <c r="AK10" s="24"/>
      <c r="AL10" s="24"/>
      <c r="AM10" s="24"/>
      <c r="AN10" s="24"/>
      <c r="AO10" s="24"/>
      <c r="AP10" s="24"/>
      <c r="AQ10" s="24"/>
      <c r="AR10" s="24"/>
      <c r="AT10" s="12"/>
      <c r="AZ10" s="15" t="s">
        <v>8</v>
      </c>
      <c r="BA10" s="19">
        <v>187</v>
      </c>
      <c r="BB10" s="19">
        <v>944</v>
      </c>
      <c r="BD10" s="15" t="s">
        <v>8</v>
      </c>
      <c r="BE10" s="17">
        <v>0.32379999999999998</v>
      </c>
      <c r="BF10" s="17">
        <v>0.42299999999999999</v>
      </c>
      <c r="BI10" s="15" t="s">
        <v>8</v>
      </c>
      <c r="BJ10" s="15" t="s">
        <v>147</v>
      </c>
      <c r="BK10" s="15" t="s">
        <v>153</v>
      </c>
      <c r="BM10" t="s">
        <v>8</v>
      </c>
      <c r="BN10" s="117" t="s">
        <v>134</v>
      </c>
    </row>
    <row r="11" spans="1:66">
      <c r="AD11" t="s">
        <v>83</v>
      </c>
      <c r="AF11" t="s">
        <v>70</v>
      </c>
      <c r="AH11" s="24">
        <v>45658</v>
      </c>
      <c r="AJ11" s="24"/>
      <c r="AK11" s="24"/>
      <c r="AL11" s="24"/>
      <c r="AM11" s="24"/>
      <c r="AN11" s="24"/>
      <c r="AO11" s="24"/>
      <c r="AP11" s="24"/>
      <c r="AQ11" s="24"/>
      <c r="AR11" s="24"/>
      <c r="AT11" s="12"/>
      <c r="AZ11" s="28" t="s">
        <v>97</v>
      </c>
      <c r="BA11" s="29">
        <v>197</v>
      </c>
      <c r="BB11" s="29">
        <v>1154</v>
      </c>
    </row>
    <row r="12" spans="1:66">
      <c r="AD12" t="s">
        <v>92</v>
      </c>
      <c r="AF12" t="s">
        <v>71</v>
      </c>
      <c r="AH12" s="24">
        <v>46023</v>
      </c>
      <c r="AJ12" s="24"/>
      <c r="AK12" s="24"/>
      <c r="AL12" s="24"/>
      <c r="AM12" s="24"/>
      <c r="AN12" s="24"/>
      <c r="AO12" s="24"/>
      <c r="AP12" s="24"/>
      <c r="AQ12" s="24"/>
      <c r="AR12" s="24"/>
      <c r="AT12" s="12"/>
      <c r="BD12" s="15" t="s">
        <v>41</v>
      </c>
      <c r="BE12" s="17" t="str">
        <f>IFERROR(VLOOKUP(RegionSelection,$BD:$BF,2,FALSE),"")</f>
        <v/>
      </c>
      <c r="BF12" s="27"/>
    </row>
    <row r="13" spans="1:66">
      <c r="AF13" t="s">
        <v>72</v>
      </c>
      <c r="AJ13" s="24"/>
      <c r="AK13" s="24"/>
      <c r="AL13" s="24"/>
      <c r="AM13" s="24"/>
      <c r="AN13" s="24"/>
      <c r="AO13" s="24"/>
      <c r="AP13" s="24"/>
      <c r="AQ13" s="24"/>
      <c r="AR13" s="24"/>
      <c r="AT13" s="12"/>
      <c r="AZ13" s="32" t="s">
        <v>45</v>
      </c>
      <c r="BA13" s="18" t="str">
        <f>IFERROR(VLOOKUP(RegionSelection,$AZ:$BB,2,FALSE),"")</f>
        <v/>
      </c>
      <c r="BB13" s="18" t="str">
        <f>IFERROR(VLOOKUP(RegionSelection,$AZ:$BB,3,FALSE),"")</f>
        <v/>
      </c>
      <c r="BD13" s="15" t="s">
        <v>42</v>
      </c>
      <c r="BE13" s="17" t="str">
        <f>IFERROR(VLOOKUP(RegionSelection,$BD:$BF,3,FALSE),"")</f>
        <v/>
      </c>
      <c r="BF13" s="27"/>
    </row>
    <row r="14" spans="1:66">
      <c r="AF14" t="s">
        <v>73</v>
      </c>
      <c r="AJ14" s="24"/>
      <c r="AK14" s="24"/>
      <c r="AL14" s="24"/>
      <c r="AM14" s="24"/>
      <c r="AN14" s="24"/>
      <c r="AO14" s="24"/>
      <c r="AP14" s="24"/>
      <c r="AQ14" s="24"/>
      <c r="AR14" s="24"/>
      <c r="AT14" s="12"/>
      <c r="BD14" s="15" t="s">
        <v>43</v>
      </c>
      <c r="BE14" s="17" t="e">
        <f>IF(RegionSelection="","",10%)</f>
        <v>#REF!</v>
      </c>
      <c r="BF14" s="27"/>
    </row>
    <row r="15" spans="1:66">
      <c r="AT15" s="12"/>
      <c r="AZ15" s="32" t="s">
        <v>122</v>
      </c>
      <c r="BA15" s="18" t="str">
        <f>IFERROR(VLOOKUP(RegionSelectionCalc,$AZ:$BB,2,FALSE),"")</f>
        <v/>
      </c>
      <c r="BB15" s="18" t="str">
        <f>IFERROR(VLOOKUP(RegionSelectionCalc,$AZ:$BB,3,FALSE),"")</f>
        <v/>
      </c>
      <c r="BD15" s="15" t="s">
        <v>44</v>
      </c>
      <c r="BE15" s="17" t="e">
        <f>IF(RegionSelection="","",20%)</f>
        <v>#REF!</v>
      </c>
      <c r="BF15" s="27"/>
    </row>
    <row r="16" spans="1:66">
      <c r="AT16" s="12"/>
      <c r="BD16" s="63" t="s">
        <v>123</v>
      </c>
    </row>
    <row r="17" spans="46:58">
      <c r="AT17" s="12"/>
      <c r="BD17" s="15" t="s">
        <v>41</v>
      </c>
      <c r="BE17" s="17" t="str">
        <f>IFERROR(VLOOKUP(RegionSelectionCalc,$BD:$BF,2,FALSE),"")</f>
        <v/>
      </c>
    </row>
    <row r="18" spans="46:58">
      <c r="AT18" s="12"/>
      <c r="BD18" s="15" t="s">
        <v>42</v>
      </c>
      <c r="BE18" s="17" t="str">
        <f>IFERROR(VLOOKUP(RegionSelectionCalc,$BD:$BF,3,FALSE),"")</f>
        <v/>
      </c>
    </row>
    <row r="19" spans="46:58">
      <c r="AT19" s="12"/>
      <c r="BD19" s="15" t="s">
        <v>43</v>
      </c>
      <c r="BE19" s="17" t="str">
        <f>IF(RegionSelectionCalc="","",10%)</f>
        <v/>
      </c>
    </row>
    <row r="20" spans="46:58">
      <c r="AT20" s="12"/>
      <c r="BD20" s="15" t="s">
        <v>44</v>
      </c>
      <c r="BE20" s="17" t="str">
        <f>IF(RegionSelectionCalc="","",20%)</f>
        <v/>
      </c>
    </row>
    <row r="21" spans="46:58">
      <c r="AT21" s="12"/>
    </row>
    <row r="22" spans="46:58">
      <c r="AT22" s="12"/>
    </row>
    <row r="23" spans="46:58">
      <c r="AT23" s="12"/>
    </row>
    <row r="24" spans="46:58">
      <c r="AT24" s="12"/>
    </row>
    <row r="25" spans="46:58">
      <c r="AT25" s="12"/>
    </row>
    <row r="26" spans="46:58">
      <c r="AT26" s="12"/>
    </row>
    <row r="27" spans="46:58">
      <c r="AT27" s="12"/>
    </row>
    <row r="28" spans="46:58">
      <c r="AT28" s="12"/>
      <c r="AV28" s="33" t="s">
        <v>111</v>
      </c>
    </row>
    <row r="29" spans="46:58" ht="17.25" thickBot="1">
      <c r="AT29" s="12"/>
      <c r="AV29" s="22" t="s">
        <v>104</v>
      </c>
      <c r="AZ29" s="22" t="s">
        <v>105</v>
      </c>
      <c r="BD29" s="22" t="s">
        <v>78</v>
      </c>
    </row>
    <row r="30" spans="46:58" ht="17.25" thickBot="1">
      <c r="AT30" s="12"/>
      <c r="AV30" t="s">
        <v>99</v>
      </c>
      <c r="AW30" s="30">
        <v>2242</v>
      </c>
      <c r="AZ30" t="s">
        <v>99</v>
      </c>
      <c r="BA30" s="30">
        <f>BA47+0.7*BA48+0.6*BA49</f>
        <v>349.5</v>
      </c>
      <c r="BD30" s="25" t="s">
        <v>76</v>
      </c>
      <c r="BE30" s="21" t="e">
        <f>PrivPartyCost/BuildingCount</f>
        <v>#REF!</v>
      </c>
      <c r="BF30" s="26"/>
    </row>
    <row r="31" spans="46:58" ht="17.25" thickBot="1">
      <c r="AT31" s="12"/>
      <c r="AV31" t="s">
        <v>98</v>
      </c>
      <c r="AW31" s="30">
        <v>280</v>
      </c>
      <c r="AZ31" t="s">
        <v>101</v>
      </c>
      <c r="BA31" t="e">
        <f>-SMBARPU*0.25</f>
        <v>#REF!</v>
      </c>
      <c r="BD31" s="25" t="s">
        <v>77</v>
      </c>
      <c r="BE31" s="21">
        <f>IFERROR(LatCostPerBuilding/(((SUM(SMBQBs,ENTQBs)-(BuildingCount-MultiTenantBuildings))/(MultiTenantBuildings-COUNTIF(#REF!,"MDU")))*(SMBPen36Mo*SMBQBs/(SUM(SMBQBs,ENTQBs))+ENTPen36Mo*ENTQBs/SUM(SMBQBs,ENTQBs))),0)</f>
        <v>0</v>
      </c>
      <c r="BF31" s="26"/>
    </row>
    <row r="32" spans="46:58" ht="17.25" thickBot="1">
      <c r="AT32" s="12"/>
      <c r="AV32" t="s">
        <v>100</v>
      </c>
      <c r="AW32" s="31" t="e">
        <f>4.24*85*ENTARPU/DivisionARPUAssumption</f>
        <v>#REF!</v>
      </c>
      <c r="AZ32" t="s">
        <v>102</v>
      </c>
      <c r="BA32" s="20" t="e">
        <f>0.6*SMBARPU</f>
        <v>#REF!</v>
      </c>
      <c r="BD32" s="25" t="s">
        <v>59</v>
      </c>
      <c r="BE32" s="21" t="e">
        <f>LatCostPerBuilding*(BuildingCount-MultiTenantBuildings)/(SUM(SMBQBs,ENTQBs))+LatCostPerConnectMultiTenant*(SUM(SMBQBs,ENTQBs)-(BuildingCount-MultiTenantBuildings))/SUM(SMBQBs,ENTQBs)</f>
        <v>#REF!</v>
      </c>
      <c r="BF32" s="26"/>
    </row>
    <row r="33" spans="46:58" ht="17.25" thickBot="1">
      <c r="AT33" s="12"/>
      <c r="AV33" t="s">
        <v>101</v>
      </c>
      <c r="AW33" t="e">
        <f>-ENTARPU*0.25</f>
        <v>#REF!</v>
      </c>
      <c r="AZ33" t="s">
        <v>103</v>
      </c>
      <c r="BA33" s="30" t="e">
        <f>SUM(BA30:BA32)</f>
        <v>#REF!</v>
      </c>
      <c r="BD33" s="25" t="s">
        <v>60</v>
      </c>
      <c r="BE33" s="21" t="e">
        <f>LatCostPerBuilding*(BuildingCount-MultiTenantBuildings)/(SUM(SMBQBs,ENTQBs))+LatCostPerConnectMultiTenant*(SUM(SMBQBs,ENTQBs)-(BuildingCount-MultiTenantBuildings))/SUM(SMBQBs,ENTQBs)</f>
        <v>#REF!</v>
      </c>
      <c r="BF33" s="26"/>
    </row>
    <row r="34" spans="46:58" ht="17.25" thickBot="1">
      <c r="AT34" s="12"/>
      <c r="AV34" t="s">
        <v>102</v>
      </c>
      <c r="AW34" s="20" t="e">
        <f>0.6*ENTARPU</f>
        <v>#REF!</v>
      </c>
      <c r="BD34" s="25" t="s">
        <v>81</v>
      </c>
      <c r="BE34" s="21">
        <f>IFERROR(TotalUpfrontSMBLatCosts+AddOSPLatCostSMB,0)</f>
        <v>0</v>
      </c>
    </row>
    <row r="35" spans="46:58" ht="17.25" thickBot="1">
      <c r="AT35" s="12"/>
      <c r="AV35" t="s">
        <v>103</v>
      </c>
      <c r="AW35" s="30" t="e">
        <f>SUM(AW30:AW34)</f>
        <v>#REF!</v>
      </c>
      <c r="BD35" s="25" t="s">
        <v>82</v>
      </c>
      <c r="BE35" s="21">
        <f>IFERROR(TotalUpfrontENTLatCosts+AddOSPLatCostENT,0)</f>
        <v>0</v>
      </c>
    </row>
    <row r="36" spans="46:58">
      <c r="AT36" s="12"/>
      <c r="BD36" s="9"/>
      <c r="BE36" s="9"/>
      <c r="BF36" s="9"/>
    </row>
    <row r="37" spans="46:58" ht="17.25" thickBot="1">
      <c r="AT37" s="12"/>
      <c r="AV37" s="22" t="s">
        <v>104</v>
      </c>
      <c r="AZ37" s="22" t="s">
        <v>105</v>
      </c>
      <c r="BD37" s="22" t="s">
        <v>120</v>
      </c>
    </row>
    <row r="38" spans="46:58" ht="17.25" thickBot="1">
      <c r="AT38" s="12"/>
      <c r="AV38" t="s">
        <v>99</v>
      </c>
      <c r="AW38" s="30">
        <v>2242</v>
      </c>
      <c r="AZ38" t="s">
        <v>99</v>
      </c>
      <c r="BA38" s="30">
        <f>BA47+0.7*BA48+0.6*BA49</f>
        <v>349.5</v>
      </c>
      <c r="BD38" t="s">
        <v>76</v>
      </c>
      <c r="BE38" s="21" t="e">
        <f>PrivPartyCostCalc/BuildingCountCalc</f>
        <v>#DIV/0!</v>
      </c>
    </row>
    <row r="39" spans="46:58" ht="17.25" thickBot="1">
      <c r="AT39" s="12"/>
      <c r="AV39" t="s">
        <v>98</v>
      </c>
      <c r="AW39" s="30">
        <v>280</v>
      </c>
      <c r="AZ39" t="s">
        <v>101</v>
      </c>
      <c r="BA39" t="e">
        <f>-SMBARPUCalc*0.25</f>
        <v>#VALUE!</v>
      </c>
      <c r="BD39" t="s">
        <v>77</v>
      </c>
      <c r="BE39" s="21">
        <f>IFERROR(LatCostPerBuildingCalc/(((SUM(SMBCalcQBs,ENTCalcQBs)-(BuildingCountCalc-MultiTenantCalc))/MultiTenantCalc)*(SMB36moPenCalc*SMBCalcQBs/(SUM(SMBCalcQBs,ENTCalcQBs))+ENT36moPenCalc*ENTCalcQBs/SUM(SMBCalcQBs,ENTCalcQBs))),0)</f>
        <v>0</v>
      </c>
    </row>
    <row r="40" spans="46:58" ht="17.25" thickBot="1">
      <c r="AT40" s="12"/>
      <c r="AV40" t="s">
        <v>100</v>
      </c>
      <c r="AW40" s="31" t="e">
        <f>4.24*85*ENTARPUCalc/DivisionARPUAssumption</f>
        <v>#VALUE!</v>
      </c>
      <c r="AZ40" t="s">
        <v>102</v>
      </c>
      <c r="BA40" s="20" t="e">
        <f>0.6*SMBARPUCalc</f>
        <v>#VALUE!</v>
      </c>
      <c r="BD40" t="s">
        <v>59</v>
      </c>
      <c r="BE40" s="21" t="e">
        <f>LatCostPerBuildingCalc*(BuildingCountCalc-MultiTenantCalc)/(SUM(SMBCalcQBs,ENTCalcQBs))+LatCostPerMultiTenantCalc*(SUM(SMBCalcQBs,ENTCalcQBs)-(BuildingCountCalc-MultiTenantCalc))/SUM(SMBCalcQBs,ENTCalcQBs)</f>
        <v>#DIV/0!</v>
      </c>
    </row>
    <row r="41" spans="46:58" ht="17.25" thickBot="1">
      <c r="AT41" s="12"/>
      <c r="AV41" t="s">
        <v>101</v>
      </c>
      <c r="AW41" t="e">
        <f>-ENTARPUCalc*0.25</f>
        <v>#VALUE!</v>
      </c>
      <c r="AZ41" t="s">
        <v>103</v>
      </c>
      <c r="BA41" s="30" t="e">
        <f>SUM(BA38:BA40)</f>
        <v>#VALUE!</v>
      </c>
      <c r="BD41" t="s">
        <v>60</v>
      </c>
      <c r="BE41" s="21" t="e">
        <f>LatCostPerBuildingCalc*(BuildingCountCalc-MultiTenantCalc)/(SUM(SMBCalcQBs,ENTCalcQBs))+LatCostPerMultiTenantCalc*(SUM(SMBCalcQBs,ENTCalcQBs)-(BuildingCountCalc-MultiTenantCalc))/SUM(SMBCalcQBs,ENTCalcQBs)</f>
        <v>#DIV/0!</v>
      </c>
    </row>
    <row r="42" spans="46:58" ht="17.25" thickBot="1">
      <c r="AT42" s="12"/>
      <c r="AV42" t="s">
        <v>102</v>
      </c>
      <c r="AW42" s="20" t="e">
        <f>0.6*ENTARPUCalc</f>
        <v>#VALUE!</v>
      </c>
      <c r="BD42" s="25" t="s">
        <v>81</v>
      </c>
      <c r="BE42" s="21">
        <f>IFERROR(TotalUpfrontSMBCalc+AddOSPSMBCalc,0)</f>
        <v>0</v>
      </c>
    </row>
    <row r="43" spans="46:58" ht="17.25" thickBot="1">
      <c r="AT43" s="12"/>
      <c r="AV43" t="s">
        <v>103</v>
      </c>
      <c r="AW43" s="30" t="e">
        <f>SUM(AW38:AW42)</f>
        <v>#VALUE!</v>
      </c>
      <c r="BD43" s="25" t="s">
        <v>82</v>
      </c>
      <c r="BE43" s="21">
        <f>IFERROR(TotalUpfrontENTCalc+AddOSPENTCalc,0)</f>
        <v>0</v>
      </c>
    </row>
    <row r="44" spans="46:58">
      <c r="AT44" s="12"/>
    </row>
    <row r="45" spans="46:58">
      <c r="AT45" s="12"/>
    </row>
    <row r="46" spans="46:58">
      <c r="AT46" s="12"/>
      <c r="AZ46" t="s">
        <v>106</v>
      </c>
      <c r="BA46" t="s">
        <v>107</v>
      </c>
    </row>
    <row r="47" spans="46:58">
      <c r="AT47" s="12"/>
      <c r="AZ47" t="s">
        <v>108</v>
      </c>
      <c r="BA47" s="30">
        <v>170</v>
      </c>
    </row>
    <row r="48" spans="46:58">
      <c r="AT48" s="12"/>
      <c r="AZ48" t="s">
        <v>109</v>
      </c>
      <c r="BA48" s="30">
        <v>175</v>
      </c>
    </row>
    <row r="49" spans="46:53">
      <c r="AT49" s="12"/>
      <c r="AZ49" t="s">
        <v>110</v>
      </c>
      <c r="BA49" s="30">
        <v>95</v>
      </c>
    </row>
    <row r="50" spans="46:53">
      <c r="AT50" s="12"/>
    </row>
    <row r="51" spans="46:53">
      <c r="AT51" s="12"/>
    </row>
    <row r="52" spans="46:53">
      <c r="AT52" s="12"/>
    </row>
  </sheetData>
  <sheetProtection selectLockedCells="1" selectUnlockedCells="1"/>
  <hyperlinks>
    <hyperlink ref="BN7" r:id="rId1"/>
    <hyperlink ref="BN6" r:id="rId2"/>
    <hyperlink ref="BN5" r:id="rId3"/>
    <hyperlink ref="BN4" r:id="rId4"/>
    <hyperlink ref="BN8" r:id="rId5"/>
    <hyperlink ref="BN9" r:id="rId6"/>
    <hyperlink ref="BN10" r:id="rId7"/>
  </hyperlinks>
  <pageMargins left="0.7" right="0.7" top="0.75" bottom="0.75" header="0.3" footer="0.3"/>
  <pageSetup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GG150"/>
  <sheetViews>
    <sheetView showGridLines="0" showRowColHeaders="0" zoomScale="80" zoomScaleNormal="80" workbookViewId="0">
      <pane xSplit="1" topLeftCell="C1" activePane="topRight" state="frozen"/>
      <selection pane="topRight"/>
    </sheetView>
  </sheetViews>
  <sheetFormatPr defaultColWidth="0" defaultRowHeight="0" customHeight="1" zeroHeight="1"/>
  <cols>
    <col min="1" max="1" width="22.7109375" customWidth="1"/>
    <col min="2" max="2" width="2.7109375" customWidth="1"/>
    <col min="3" max="14" width="9.7109375" customWidth="1"/>
    <col min="15" max="183" width="9.7109375" style="1" customWidth="1"/>
    <col min="184" max="184" width="2.7109375" style="1" customWidth="1"/>
    <col min="185" max="185" width="8.85546875" style="1" customWidth="1"/>
    <col min="186" max="16384" width="8.85546875" style="1" hidden="1"/>
  </cols>
  <sheetData>
    <row r="1" spans="1:189" s="10" customFormat="1" ht="6" customHeight="1"/>
    <row r="2" spans="1:189" s="10" customFormat="1" ht="16.5"/>
    <row r="3" spans="1:189" s="10" customFormat="1" ht="16.5"/>
    <row r="4" spans="1:189" ht="6.75" customHeight="1">
      <c r="A4" s="1"/>
      <c r="B4" s="67"/>
      <c r="C4" s="90">
        <v>0</v>
      </c>
      <c r="D4" s="91">
        <v>1</v>
      </c>
      <c r="E4" s="91">
        <v>2</v>
      </c>
      <c r="F4" s="91">
        <v>3</v>
      </c>
      <c r="G4" s="91">
        <f>F4+1</f>
        <v>4</v>
      </c>
      <c r="H4" s="91">
        <f t="shared" ref="H4:BS4" si="0">G4+1</f>
        <v>5</v>
      </c>
      <c r="I4" s="91">
        <f t="shared" si="0"/>
        <v>6</v>
      </c>
      <c r="J4" s="91">
        <f t="shared" si="0"/>
        <v>7</v>
      </c>
      <c r="K4" s="91">
        <f t="shared" si="0"/>
        <v>8</v>
      </c>
      <c r="L4" s="91">
        <f t="shared" si="0"/>
        <v>9</v>
      </c>
      <c r="M4" s="91">
        <f t="shared" si="0"/>
        <v>10</v>
      </c>
      <c r="N4" s="91">
        <f t="shared" si="0"/>
        <v>11</v>
      </c>
      <c r="O4" s="91">
        <f t="shared" si="0"/>
        <v>12</v>
      </c>
      <c r="P4" s="91">
        <f t="shared" si="0"/>
        <v>13</v>
      </c>
      <c r="Q4" s="91">
        <f t="shared" si="0"/>
        <v>14</v>
      </c>
      <c r="R4" s="91">
        <f t="shared" si="0"/>
        <v>15</v>
      </c>
      <c r="S4" s="91">
        <f t="shared" si="0"/>
        <v>16</v>
      </c>
      <c r="T4" s="91">
        <f t="shared" si="0"/>
        <v>17</v>
      </c>
      <c r="U4" s="91">
        <f t="shared" si="0"/>
        <v>18</v>
      </c>
      <c r="V4" s="91">
        <f t="shared" si="0"/>
        <v>19</v>
      </c>
      <c r="W4" s="91">
        <f t="shared" si="0"/>
        <v>20</v>
      </c>
      <c r="X4" s="91">
        <f t="shared" si="0"/>
        <v>21</v>
      </c>
      <c r="Y4" s="91">
        <f t="shared" si="0"/>
        <v>22</v>
      </c>
      <c r="Z4" s="91">
        <f t="shared" si="0"/>
        <v>23</v>
      </c>
      <c r="AA4" s="91">
        <f t="shared" si="0"/>
        <v>24</v>
      </c>
      <c r="AB4" s="91">
        <f t="shared" si="0"/>
        <v>25</v>
      </c>
      <c r="AC4" s="91">
        <f t="shared" si="0"/>
        <v>26</v>
      </c>
      <c r="AD4" s="91">
        <f t="shared" si="0"/>
        <v>27</v>
      </c>
      <c r="AE4" s="91">
        <f t="shared" si="0"/>
        <v>28</v>
      </c>
      <c r="AF4" s="91">
        <f t="shared" si="0"/>
        <v>29</v>
      </c>
      <c r="AG4" s="91">
        <f t="shared" si="0"/>
        <v>30</v>
      </c>
      <c r="AH4" s="91">
        <f t="shared" si="0"/>
        <v>31</v>
      </c>
      <c r="AI4" s="91">
        <f t="shared" si="0"/>
        <v>32</v>
      </c>
      <c r="AJ4" s="91">
        <f t="shared" si="0"/>
        <v>33</v>
      </c>
      <c r="AK4" s="91">
        <f t="shared" si="0"/>
        <v>34</v>
      </c>
      <c r="AL4" s="91">
        <f t="shared" si="0"/>
        <v>35</v>
      </c>
      <c r="AM4" s="91">
        <f t="shared" si="0"/>
        <v>36</v>
      </c>
      <c r="AN4" s="91">
        <f t="shared" si="0"/>
        <v>37</v>
      </c>
      <c r="AO4" s="91">
        <f t="shared" si="0"/>
        <v>38</v>
      </c>
      <c r="AP4" s="91">
        <f t="shared" si="0"/>
        <v>39</v>
      </c>
      <c r="AQ4" s="91">
        <f t="shared" si="0"/>
        <v>40</v>
      </c>
      <c r="AR4" s="91">
        <f t="shared" si="0"/>
        <v>41</v>
      </c>
      <c r="AS4" s="91">
        <f t="shared" si="0"/>
        <v>42</v>
      </c>
      <c r="AT4" s="91">
        <f t="shared" si="0"/>
        <v>43</v>
      </c>
      <c r="AU4" s="91">
        <f t="shared" si="0"/>
        <v>44</v>
      </c>
      <c r="AV4" s="91">
        <f t="shared" si="0"/>
        <v>45</v>
      </c>
      <c r="AW4" s="91">
        <f t="shared" si="0"/>
        <v>46</v>
      </c>
      <c r="AX4" s="91">
        <f t="shared" si="0"/>
        <v>47</v>
      </c>
      <c r="AY4" s="91">
        <f t="shared" si="0"/>
        <v>48</v>
      </c>
      <c r="AZ4" s="91">
        <f t="shared" si="0"/>
        <v>49</v>
      </c>
      <c r="BA4" s="91">
        <f t="shared" si="0"/>
        <v>50</v>
      </c>
      <c r="BB4" s="91">
        <f t="shared" si="0"/>
        <v>51</v>
      </c>
      <c r="BC4" s="91">
        <f t="shared" si="0"/>
        <v>52</v>
      </c>
      <c r="BD4" s="91">
        <f t="shared" si="0"/>
        <v>53</v>
      </c>
      <c r="BE4" s="91">
        <f t="shared" si="0"/>
        <v>54</v>
      </c>
      <c r="BF4" s="91">
        <f t="shared" si="0"/>
        <v>55</v>
      </c>
      <c r="BG4" s="91">
        <f t="shared" si="0"/>
        <v>56</v>
      </c>
      <c r="BH4" s="91">
        <f t="shared" si="0"/>
        <v>57</v>
      </c>
      <c r="BI4" s="91">
        <f t="shared" si="0"/>
        <v>58</v>
      </c>
      <c r="BJ4" s="91">
        <f t="shared" si="0"/>
        <v>59</v>
      </c>
      <c r="BK4" s="91">
        <f t="shared" si="0"/>
        <v>60</v>
      </c>
      <c r="BL4" s="91">
        <f t="shared" si="0"/>
        <v>61</v>
      </c>
      <c r="BM4" s="91">
        <f t="shared" si="0"/>
        <v>62</v>
      </c>
      <c r="BN4" s="91">
        <f t="shared" si="0"/>
        <v>63</v>
      </c>
      <c r="BO4" s="91">
        <f t="shared" si="0"/>
        <v>64</v>
      </c>
      <c r="BP4" s="91">
        <f t="shared" si="0"/>
        <v>65</v>
      </c>
      <c r="BQ4" s="91">
        <f t="shared" si="0"/>
        <v>66</v>
      </c>
      <c r="BR4" s="91">
        <f t="shared" si="0"/>
        <v>67</v>
      </c>
      <c r="BS4" s="91">
        <f t="shared" si="0"/>
        <v>68</v>
      </c>
      <c r="BT4" s="91">
        <f t="shared" ref="BT4:DK4" si="1">BS4+1</f>
        <v>69</v>
      </c>
      <c r="BU4" s="91">
        <f t="shared" si="1"/>
        <v>70</v>
      </c>
      <c r="BV4" s="91">
        <f t="shared" si="1"/>
        <v>71</v>
      </c>
      <c r="BW4" s="91">
        <f t="shared" si="1"/>
        <v>72</v>
      </c>
      <c r="BX4" s="91">
        <f t="shared" si="1"/>
        <v>73</v>
      </c>
      <c r="BY4" s="91">
        <f t="shared" si="1"/>
        <v>74</v>
      </c>
      <c r="BZ4" s="91">
        <f t="shared" si="1"/>
        <v>75</v>
      </c>
      <c r="CA4" s="91">
        <f t="shared" si="1"/>
        <v>76</v>
      </c>
      <c r="CB4" s="91">
        <f t="shared" si="1"/>
        <v>77</v>
      </c>
      <c r="CC4" s="91">
        <f t="shared" si="1"/>
        <v>78</v>
      </c>
      <c r="CD4" s="91">
        <f t="shared" si="1"/>
        <v>79</v>
      </c>
      <c r="CE4" s="91">
        <f t="shared" si="1"/>
        <v>80</v>
      </c>
      <c r="CF4" s="91">
        <f t="shared" si="1"/>
        <v>81</v>
      </c>
      <c r="CG4" s="91">
        <f t="shared" si="1"/>
        <v>82</v>
      </c>
      <c r="CH4" s="91">
        <f t="shared" si="1"/>
        <v>83</v>
      </c>
      <c r="CI4" s="91">
        <f t="shared" si="1"/>
        <v>84</v>
      </c>
      <c r="CJ4" s="91">
        <f t="shared" si="1"/>
        <v>85</v>
      </c>
      <c r="CK4" s="91">
        <f t="shared" si="1"/>
        <v>86</v>
      </c>
      <c r="CL4" s="91">
        <f t="shared" si="1"/>
        <v>87</v>
      </c>
      <c r="CM4" s="91">
        <f t="shared" si="1"/>
        <v>88</v>
      </c>
      <c r="CN4" s="91">
        <f t="shared" si="1"/>
        <v>89</v>
      </c>
      <c r="CO4" s="91">
        <f t="shared" si="1"/>
        <v>90</v>
      </c>
      <c r="CP4" s="91">
        <f t="shared" si="1"/>
        <v>91</v>
      </c>
      <c r="CQ4" s="91">
        <f t="shared" si="1"/>
        <v>92</v>
      </c>
      <c r="CR4" s="91">
        <f t="shared" si="1"/>
        <v>93</v>
      </c>
      <c r="CS4" s="91">
        <f t="shared" si="1"/>
        <v>94</v>
      </c>
      <c r="CT4" s="91">
        <f t="shared" si="1"/>
        <v>95</v>
      </c>
      <c r="CU4" s="91">
        <f t="shared" si="1"/>
        <v>96</v>
      </c>
      <c r="CV4" s="91">
        <f t="shared" si="1"/>
        <v>97</v>
      </c>
      <c r="CW4" s="91">
        <f t="shared" si="1"/>
        <v>98</v>
      </c>
      <c r="CX4" s="91">
        <f t="shared" si="1"/>
        <v>99</v>
      </c>
      <c r="CY4" s="91">
        <f t="shared" si="1"/>
        <v>100</v>
      </c>
      <c r="CZ4" s="91">
        <f t="shared" si="1"/>
        <v>101</v>
      </c>
      <c r="DA4" s="91">
        <f t="shared" si="1"/>
        <v>102</v>
      </c>
      <c r="DB4" s="91">
        <f t="shared" si="1"/>
        <v>103</v>
      </c>
      <c r="DC4" s="91">
        <f t="shared" si="1"/>
        <v>104</v>
      </c>
      <c r="DD4" s="91">
        <f t="shared" si="1"/>
        <v>105</v>
      </c>
      <c r="DE4" s="91">
        <f t="shared" si="1"/>
        <v>106</v>
      </c>
      <c r="DF4" s="91">
        <f t="shared" si="1"/>
        <v>107</v>
      </c>
      <c r="DG4" s="91">
        <f t="shared" si="1"/>
        <v>108</v>
      </c>
      <c r="DH4" s="91">
        <f t="shared" si="1"/>
        <v>109</v>
      </c>
      <c r="DI4" s="91">
        <f t="shared" si="1"/>
        <v>110</v>
      </c>
      <c r="DJ4" s="91">
        <f t="shared" si="1"/>
        <v>111</v>
      </c>
      <c r="DK4" s="91">
        <f t="shared" si="1"/>
        <v>112</v>
      </c>
      <c r="DL4" s="91">
        <f>DK4+1</f>
        <v>113</v>
      </c>
      <c r="DM4" s="91">
        <f t="shared" ref="DM4:FX4" si="2">DL4+1</f>
        <v>114</v>
      </c>
      <c r="DN4" s="91">
        <f t="shared" si="2"/>
        <v>115</v>
      </c>
      <c r="DO4" s="91">
        <f t="shared" si="2"/>
        <v>116</v>
      </c>
      <c r="DP4" s="91">
        <f t="shared" si="2"/>
        <v>117</v>
      </c>
      <c r="DQ4" s="91">
        <f t="shared" si="2"/>
        <v>118</v>
      </c>
      <c r="DR4" s="91">
        <f t="shared" si="2"/>
        <v>119</v>
      </c>
      <c r="DS4" s="91">
        <f t="shared" si="2"/>
        <v>120</v>
      </c>
      <c r="DT4" s="91">
        <f t="shared" si="2"/>
        <v>121</v>
      </c>
      <c r="DU4" s="91">
        <f t="shared" si="2"/>
        <v>122</v>
      </c>
      <c r="DV4" s="91">
        <f t="shared" si="2"/>
        <v>123</v>
      </c>
      <c r="DW4" s="91">
        <f t="shared" si="2"/>
        <v>124</v>
      </c>
      <c r="DX4" s="91">
        <f t="shared" si="2"/>
        <v>125</v>
      </c>
      <c r="DY4" s="91">
        <f t="shared" si="2"/>
        <v>126</v>
      </c>
      <c r="DZ4" s="91">
        <f t="shared" si="2"/>
        <v>127</v>
      </c>
      <c r="EA4" s="91">
        <f t="shared" si="2"/>
        <v>128</v>
      </c>
      <c r="EB4" s="91">
        <f t="shared" si="2"/>
        <v>129</v>
      </c>
      <c r="EC4" s="91">
        <f t="shared" si="2"/>
        <v>130</v>
      </c>
      <c r="ED4" s="91">
        <f t="shared" si="2"/>
        <v>131</v>
      </c>
      <c r="EE4" s="91">
        <f t="shared" si="2"/>
        <v>132</v>
      </c>
      <c r="EF4" s="91">
        <f t="shared" si="2"/>
        <v>133</v>
      </c>
      <c r="EG4" s="91">
        <f t="shared" si="2"/>
        <v>134</v>
      </c>
      <c r="EH4" s="91">
        <f t="shared" si="2"/>
        <v>135</v>
      </c>
      <c r="EI4" s="91">
        <f t="shared" si="2"/>
        <v>136</v>
      </c>
      <c r="EJ4" s="91">
        <f t="shared" si="2"/>
        <v>137</v>
      </c>
      <c r="EK4" s="91">
        <f t="shared" si="2"/>
        <v>138</v>
      </c>
      <c r="EL4" s="91">
        <f t="shared" si="2"/>
        <v>139</v>
      </c>
      <c r="EM4" s="91">
        <f t="shared" si="2"/>
        <v>140</v>
      </c>
      <c r="EN4" s="91">
        <f t="shared" si="2"/>
        <v>141</v>
      </c>
      <c r="EO4" s="91">
        <f t="shared" si="2"/>
        <v>142</v>
      </c>
      <c r="EP4" s="91">
        <f t="shared" si="2"/>
        <v>143</v>
      </c>
      <c r="EQ4" s="91">
        <f t="shared" si="2"/>
        <v>144</v>
      </c>
      <c r="ER4" s="91">
        <f t="shared" si="2"/>
        <v>145</v>
      </c>
      <c r="ES4" s="91">
        <f t="shared" si="2"/>
        <v>146</v>
      </c>
      <c r="ET4" s="91">
        <f t="shared" si="2"/>
        <v>147</v>
      </c>
      <c r="EU4" s="91">
        <f t="shared" si="2"/>
        <v>148</v>
      </c>
      <c r="EV4" s="91">
        <f t="shared" si="2"/>
        <v>149</v>
      </c>
      <c r="EW4" s="91">
        <f t="shared" si="2"/>
        <v>150</v>
      </c>
      <c r="EX4" s="91">
        <f t="shared" si="2"/>
        <v>151</v>
      </c>
      <c r="EY4" s="91">
        <f t="shared" si="2"/>
        <v>152</v>
      </c>
      <c r="EZ4" s="91">
        <f t="shared" si="2"/>
        <v>153</v>
      </c>
      <c r="FA4" s="91">
        <f t="shared" si="2"/>
        <v>154</v>
      </c>
      <c r="FB4" s="91">
        <f t="shared" si="2"/>
        <v>155</v>
      </c>
      <c r="FC4" s="91">
        <f t="shared" si="2"/>
        <v>156</v>
      </c>
      <c r="FD4" s="91">
        <f t="shared" si="2"/>
        <v>157</v>
      </c>
      <c r="FE4" s="91">
        <f t="shared" si="2"/>
        <v>158</v>
      </c>
      <c r="FF4" s="91">
        <f t="shared" si="2"/>
        <v>159</v>
      </c>
      <c r="FG4" s="91">
        <f t="shared" si="2"/>
        <v>160</v>
      </c>
      <c r="FH4" s="91">
        <f t="shared" si="2"/>
        <v>161</v>
      </c>
      <c r="FI4" s="91">
        <f t="shared" si="2"/>
        <v>162</v>
      </c>
      <c r="FJ4" s="91">
        <f t="shared" si="2"/>
        <v>163</v>
      </c>
      <c r="FK4" s="91">
        <f t="shared" si="2"/>
        <v>164</v>
      </c>
      <c r="FL4" s="91">
        <f t="shared" si="2"/>
        <v>165</v>
      </c>
      <c r="FM4" s="91">
        <f t="shared" si="2"/>
        <v>166</v>
      </c>
      <c r="FN4" s="91">
        <f t="shared" si="2"/>
        <v>167</v>
      </c>
      <c r="FO4" s="91">
        <f t="shared" si="2"/>
        <v>168</v>
      </c>
      <c r="FP4" s="91">
        <f t="shared" si="2"/>
        <v>169</v>
      </c>
      <c r="FQ4" s="91">
        <f t="shared" si="2"/>
        <v>170</v>
      </c>
      <c r="FR4" s="91">
        <f t="shared" si="2"/>
        <v>171</v>
      </c>
      <c r="FS4" s="91">
        <f t="shared" si="2"/>
        <v>172</v>
      </c>
      <c r="FT4" s="91">
        <f t="shared" si="2"/>
        <v>173</v>
      </c>
      <c r="FU4" s="91">
        <f t="shared" si="2"/>
        <v>174</v>
      </c>
      <c r="FV4" s="91">
        <f t="shared" si="2"/>
        <v>175</v>
      </c>
      <c r="FW4" s="91">
        <f t="shared" si="2"/>
        <v>176</v>
      </c>
      <c r="FX4" s="91">
        <f t="shared" si="2"/>
        <v>177</v>
      </c>
      <c r="FY4" s="91">
        <f>FX4+1</f>
        <v>178</v>
      </c>
      <c r="FZ4" s="91">
        <f>FY4+1</f>
        <v>179</v>
      </c>
      <c r="GA4" s="91">
        <f>FZ4+1</f>
        <v>180</v>
      </c>
      <c r="GB4" s="92"/>
    </row>
    <row r="5" spans="1:189" s="11" customFormat="1" ht="33">
      <c r="B5" s="93"/>
      <c r="C5" s="94" t="str">
        <f>"SMB Rev Mo "&amp;C$4</f>
        <v>SMB Rev Mo 0</v>
      </c>
      <c r="D5" s="95" t="str">
        <f t="shared" ref="D5:BO5" si="3">"SMB Rev Mo "&amp;D$4</f>
        <v>SMB Rev Mo 1</v>
      </c>
      <c r="E5" s="95" t="str">
        <f t="shared" si="3"/>
        <v>SMB Rev Mo 2</v>
      </c>
      <c r="F5" s="95" t="str">
        <f t="shared" si="3"/>
        <v>SMB Rev Mo 3</v>
      </c>
      <c r="G5" s="95" t="str">
        <f t="shared" si="3"/>
        <v>SMB Rev Mo 4</v>
      </c>
      <c r="H5" s="95" t="str">
        <f t="shared" si="3"/>
        <v>SMB Rev Mo 5</v>
      </c>
      <c r="I5" s="95" t="str">
        <f t="shared" si="3"/>
        <v>SMB Rev Mo 6</v>
      </c>
      <c r="J5" s="95" t="str">
        <f t="shared" si="3"/>
        <v>SMB Rev Mo 7</v>
      </c>
      <c r="K5" s="95" t="str">
        <f t="shared" si="3"/>
        <v>SMB Rev Mo 8</v>
      </c>
      <c r="L5" s="95" t="str">
        <f t="shared" si="3"/>
        <v>SMB Rev Mo 9</v>
      </c>
      <c r="M5" s="95" t="str">
        <f t="shared" si="3"/>
        <v>SMB Rev Mo 10</v>
      </c>
      <c r="N5" s="95" t="str">
        <f t="shared" si="3"/>
        <v>SMB Rev Mo 11</v>
      </c>
      <c r="O5" s="95" t="str">
        <f t="shared" si="3"/>
        <v>SMB Rev Mo 12</v>
      </c>
      <c r="P5" s="95" t="str">
        <f t="shared" si="3"/>
        <v>SMB Rev Mo 13</v>
      </c>
      <c r="Q5" s="95" t="str">
        <f t="shared" si="3"/>
        <v>SMB Rev Mo 14</v>
      </c>
      <c r="R5" s="95" t="str">
        <f t="shared" si="3"/>
        <v>SMB Rev Mo 15</v>
      </c>
      <c r="S5" s="95" t="str">
        <f t="shared" si="3"/>
        <v>SMB Rev Mo 16</v>
      </c>
      <c r="T5" s="95" t="str">
        <f t="shared" si="3"/>
        <v>SMB Rev Mo 17</v>
      </c>
      <c r="U5" s="95" t="str">
        <f t="shared" si="3"/>
        <v>SMB Rev Mo 18</v>
      </c>
      <c r="V5" s="95" t="str">
        <f t="shared" si="3"/>
        <v>SMB Rev Mo 19</v>
      </c>
      <c r="W5" s="95" t="str">
        <f t="shared" si="3"/>
        <v>SMB Rev Mo 20</v>
      </c>
      <c r="X5" s="95" t="str">
        <f t="shared" si="3"/>
        <v>SMB Rev Mo 21</v>
      </c>
      <c r="Y5" s="95" t="str">
        <f t="shared" si="3"/>
        <v>SMB Rev Mo 22</v>
      </c>
      <c r="Z5" s="95" t="str">
        <f t="shared" si="3"/>
        <v>SMB Rev Mo 23</v>
      </c>
      <c r="AA5" s="95" t="str">
        <f t="shared" si="3"/>
        <v>SMB Rev Mo 24</v>
      </c>
      <c r="AB5" s="95" t="str">
        <f t="shared" si="3"/>
        <v>SMB Rev Mo 25</v>
      </c>
      <c r="AC5" s="95" t="str">
        <f t="shared" si="3"/>
        <v>SMB Rev Mo 26</v>
      </c>
      <c r="AD5" s="95" t="str">
        <f t="shared" si="3"/>
        <v>SMB Rev Mo 27</v>
      </c>
      <c r="AE5" s="95" t="str">
        <f t="shared" si="3"/>
        <v>SMB Rev Mo 28</v>
      </c>
      <c r="AF5" s="95" t="str">
        <f t="shared" si="3"/>
        <v>SMB Rev Mo 29</v>
      </c>
      <c r="AG5" s="95" t="str">
        <f t="shared" si="3"/>
        <v>SMB Rev Mo 30</v>
      </c>
      <c r="AH5" s="95" t="str">
        <f t="shared" si="3"/>
        <v>SMB Rev Mo 31</v>
      </c>
      <c r="AI5" s="95" t="str">
        <f t="shared" si="3"/>
        <v>SMB Rev Mo 32</v>
      </c>
      <c r="AJ5" s="95" t="str">
        <f t="shared" si="3"/>
        <v>SMB Rev Mo 33</v>
      </c>
      <c r="AK5" s="95" t="str">
        <f t="shared" si="3"/>
        <v>SMB Rev Mo 34</v>
      </c>
      <c r="AL5" s="95" t="str">
        <f t="shared" si="3"/>
        <v>SMB Rev Mo 35</v>
      </c>
      <c r="AM5" s="95" t="str">
        <f t="shared" si="3"/>
        <v>SMB Rev Mo 36</v>
      </c>
      <c r="AN5" s="95" t="str">
        <f t="shared" si="3"/>
        <v>SMB Rev Mo 37</v>
      </c>
      <c r="AO5" s="95" t="str">
        <f t="shared" si="3"/>
        <v>SMB Rev Mo 38</v>
      </c>
      <c r="AP5" s="95" t="str">
        <f t="shared" si="3"/>
        <v>SMB Rev Mo 39</v>
      </c>
      <c r="AQ5" s="95" t="str">
        <f t="shared" si="3"/>
        <v>SMB Rev Mo 40</v>
      </c>
      <c r="AR5" s="95" t="str">
        <f t="shared" si="3"/>
        <v>SMB Rev Mo 41</v>
      </c>
      <c r="AS5" s="95" t="str">
        <f t="shared" si="3"/>
        <v>SMB Rev Mo 42</v>
      </c>
      <c r="AT5" s="95" t="str">
        <f t="shared" si="3"/>
        <v>SMB Rev Mo 43</v>
      </c>
      <c r="AU5" s="95" t="str">
        <f t="shared" si="3"/>
        <v>SMB Rev Mo 44</v>
      </c>
      <c r="AV5" s="95" t="str">
        <f t="shared" si="3"/>
        <v>SMB Rev Mo 45</v>
      </c>
      <c r="AW5" s="95" t="str">
        <f t="shared" si="3"/>
        <v>SMB Rev Mo 46</v>
      </c>
      <c r="AX5" s="95" t="str">
        <f t="shared" si="3"/>
        <v>SMB Rev Mo 47</v>
      </c>
      <c r="AY5" s="95" t="str">
        <f t="shared" si="3"/>
        <v>SMB Rev Mo 48</v>
      </c>
      <c r="AZ5" s="95" t="str">
        <f t="shared" si="3"/>
        <v>SMB Rev Mo 49</v>
      </c>
      <c r="BA5" s="95" t="str">
        <f t="shared" si="3"/>
        <v>SMB Rev Mo 50</v>
      </c>
      <c r="BB5" s="95" t="str">
        <f t="shared" si="3"/>
        <v>SMB Rev Mo 51</v>
      </c>
      <c r="BC5" s="95" t="str">
        <f t="shared" si="3"/>
        <v>SMB Rev Mo 52</v>
      </c>
      <c r="BD5" s="95" t="str">
        <f t="shared" si="3"/>
        <v>SMB Rev Mo 53</v>
      </c>
      <c r="BE5" s="95" t="str">
        <f t="shared" si="3"/>
        <v>SMB Rev Mo 54</v>
      </c>
      <c r="BF5" s="95" t="str">
        <f t="shared" si="3"/>
        <v>SMB Rev Mo 55</v>
      </c>
      <c r="BG5" s="95" t="str">
        <f t="shared" si="3"/>
        <v>SMB Rev Mo 56</v>
      </c>
      <c r="BH5" s="95" t="str">
        <f t="shared" si="3"/>
        <v>SMB Rev Mo 57</v>
      </c>
      <c r="BI5" s="95" t="str">
        <f t="shared" si="3"/>
        <v>SMB Rev Mo 58</v>
      </c>
      <c r="BJ5" s="95" t="str">
        <f t="shared" si="3"/>
        <v>SMB Rev Mo 59</v>
      </c>
      <c r="BK5" s="95" t="str">
        <f t="shared" si="3"/>
        <v>SMB Rev Mo 60</v>
      </c>
      <c r="BL5" s="95" t="str">
        <f t="shared" si="3"/>
        <v>SMB Rev Mo 61</v>
      </c>
      <c r="BM5" s="95" t="str">
        <f t="shared" si="3"/>
        <v>SMB Rev Mo 62</v>
      </c>
      <c r="BN5" s="95" t="str">
        <f t="shared" si="3"/>
        <v>SMB Rev Mo 63</v>
      </c>
      <c r="BO5" s="95" t="str">
        <f t="shared" si="3"/>
        <v>SMB Rev Mo 64</v>
      </c>
      <c r="BP5" s="95" t="str">
        <f t="shared" ref="BP5:EA5" si="4">"SMB Rev Mo "&amp;BP$4</f>
        <v>SMB Rev Mo 65</v>
      </c>
      <c r="BQ5" s="95" t="str">
        <f t="shared" si="4"/>
        <v>SMB Rev Mo 66</v>
      </c>
      <c r="BR5" s="95" t="str">
        <f t="shared" si="4"/>
        <v>SMB Rev Mo 67</v>
      </c>
      <c r="BS5" s="95" t="str">
        <f t="shared" si="4"/>
        <v>SMB Rev Mo 68</v>
      </c>
      <c r="BT5" s="95" t="str">
        <f t="shared" si="4"/>
        <v>SMB Rev Mo 69</v>
      </c>
      <c r="BU5" s="95" t="str">
        <f t="shared" si="4"/>
        <v>SMB Rev Mo 70</v>
      </c>
      <c r="BV5" s="95" t="str">
        <f t="shared" si="4"/>
        <v>SMB Rev Mo 71</v>
      </c>
      <c r="BW5" s="95" t="str">
        <f t="shared" si="4"/>
        <v>SMB Rev Mo 72</v>
      </c>
      <c r="BX5" s="95" t="str">
        <f t="shared" si="4"/>
        <v>SMB Rev Mo 73</v>
      </c>
      <c r="BY5" s="95" t="str">
        <f t="shared" si="4"/>
        <v>SMB Rev Mo 74</v>
      </c>
      <c r="BZ5" s="95" t="str">
        <f t="shared" si="4"/>
        <v>SMB Rev Mo 75</v>
      </c>
      <c r="CA5" s="95" t="str">
        <f t="shared" si="4"/>
        <v>SMB Rev Mo 76</v>
      </c>
      <c r="CB5" s="95" t="str">
        <f t="shared" si="4"/>
        <v>SMB Rev Mo 77</v>
      </c>
      <c r="CC5" s="95" t="str">
        <f t="shared" si="4"/>
        <v>SMB Rev Mo 78</v>
      </c>
      <c r="CD5" s="95" t="str">
        <f t="shared" si="4"/>
        <v>SMB Rev Mo 79</v>
      </c>
      <c r="CE5" s="95" t="str">
        <f t="shared" si="4"/>
        <v>SMB Rev Mo 80</v>
      </c>
      <c r="CF5" s="95" t="str">
        <f t="shared" si="4"/>
        <v>SMB Rev Mo 81</v>
      </c>
      <c r="CG5" s="95" t="str">
        <f t="shared" si="4"/>
        <v>SMB Rev Mo 82</v>
      </c>
      <c r="CH5" s="95" t="str">
        <f t="shared" si="4"/>
        <v>SMB Rev Mo 83</v>
      </c>
      <c r="CI5" s="95" t="str">
        <f t="shared" si="4"/>
        <v>SMB Rev Mo 84</v>
      </c>
      <c r="CJ5" s="95" t="str">
        <f t="shared" si="4"/>
        <v>SMB Rev Mo 85</v>
      </c>
      <c r="CK5" s="95" t="str">
        <f t="shared" si="4"/>
        <v>SMB Rev Mo 86</v>
      </c>
      <c r="CL5" s="95" t="str">
        <f t="shared" si="4"/>
        <v>SMB Rev Mo 87</v>
      </c>
      <c r="CM5" s="95" t="str">
        <f t="shared" si="4"/>
        <v>SMB Rev Mo 88</v>
      </c>
      <c r="CN5" s="95" t="str">
        <f t="shared" si="4"/>
        <v>SMB Rev Mo 89</v>
      </c>
      <c r="CO5" s="95" t="str">
        <f t="shared" si="4"/>
        <v>SMB Rev Mo 90</v>
      </c>
      <c r="CP5" s="95" t="str">
        <f t="shared" si="4"/>
        <v>SMB Rev Mo 91</v>
      </c>
      <c r="CQ5" s="95" t="str">
        <f t="shared" si="4"/>
        <v>SMB Rev Mo 92</v>
      </c>
      <c r="CR5" s="95" t="str">
        <f t="shared" si="4"/>
        <v>SMB Rev Mo 93</v>
      </c>
      <c r="CS5" s="95" t="str">
        <f t="shared" si="4"/>
        <v>SMB Rev Mo 94</v>
      </c>
      <c r="CT5" s="95" t="str">
        <f t="shared" si="4"/>
        <v>SMB Rev Mo 95</v>
      </c>
      <c r="CU5" s="95" t="str">
        <f t="shared" si="4"/>
        <v>SMB Rev Mo 96</v>
      </c>
      <c r="CV5" s="95" t="str">
        <f t="shared" si="4"/>
        <v>SMB Rev Mo 97</v>
      </c>
      <c r="CW5" s="95" t="str">
        <f t="shared" si="4"/>
        <v>SMB Rev Mo 98</v>
      </c>
      <c r="CX5" s="95" t="str">
        <f t="shared" si="4"/>
        <v>SMB Rev Mo 99</v>
      </c>
      <c r="CY5" s="95" t="str">
        <f t="shared" si="4"/>
        <v>SMB Rev Mo 100</v>
      </c>
      <c r="CZ5" s="95" t="str">
        <f t="shared" si="4"/>
        <v>SMB Rev Mo 101</v>
      </c>
      <c r="DA5" s="95" t="str">
        <f t="shared" si="4"/>
        <v>SMB Rev Mo 102</v>
      </c>
      <c r="DB5" s="95" t="str">
        <f t="shared" si="4"/>
        <v>SMB Rev Mo 103</v>
      </c>
      <c r="DC5" s="95" t="str">
        <f t="shared" si="4"/>
        <v>SMB Rev Mo 104</v>
      </c>
      <c r="DD5" s="95" t="str">
        <f t="shared" si="4"/>
        <v>SMB Rev Mo 105</v>
      </c>
      <c r="DE5" s="95" t="str">
        <f t="shared" si="4"/>
        <v>SMB Rev Mo 106</v>
      </c>
      <c r="DF5" s="95" t="str">
        <f t="shared" si="4"/>
        <v>SMB Rev Mo 107</v>
      </c>
      <c r="DG5" s="95" t="str">
        <f t="shared" si="4"/>
        <v>SMB Rev Mo 108</v>
      </c>
      <c r="DH5" s="95" t="str">
        <f t="shared" si="4"/>
        <v>SMB Rev Mo 109</v>
      </c>
      <c r="DI5" s="95" t="str">
        <f t="shared" si="4"/>
        <v>SMB Rev Mo 110</v>
      </c>
      <c r="DJ5" s="95" t="str">
        <f t="shared" si="4"/>
        <v>SMB Rev Mo 111</v>
      </c>
      <c r="DK5" s="95" t="str">
        <f t="shared" si="4"/>
        <v>SMB Rev Mo 112</v>
      </c>
      <c r="DL5" s="95" t="str">
        <f t="shared" si="4"/>
        <v>SMB Rev Mo 113</v>
      </c>
      <c r="DM5" s="95" t="str">
        <f t="shared" si="4"/>
        <v>SMB Rev Mo 114</v>
      </c>
      <c r="DN5" s="95" t="str">
        <f t="shared" si="4"/>
        <v>SMB Rev Mo 115</v>
      </c>
      <c r="DO5" s="95" t="str">
        <f t="shared" si="4"/>
        <v>SMB Rev Mo 116</v>
      </c>
      <c r="DP5" s="95" t="str">
        <f t="shared" si="4"/>
        <v>SMB Rev Mo 117</v>
      </c>
      <c r="DQ5" s="95" t="str">
        <f t="shared" si="4"/>
        <v>SMB Rev Mo 118</v>
      </c>
      <c r="DR5" s="95" t="str">
        <f t="shared" si="4"/>
        <v>SMB Rev Mo 119</v>
      </c>
      <c r="DS5" s="95" t="str">
        <f t="shared" si="4"/>
        <v>SMB Rev Mo 120</v>
      </c>
      <c r="DT5" s="95" t="str">
        <f t="shared" si="4"/>
        <v>SMB Rev Mo 121</v>
      </c>
      <c r="DU5" s="95" t="str">
        <f t="shared" si="4"/>
        <v>SMB Rev Mo 122</v>
      </c>
      <c r="DV5" s="95" t="str">
        <f t="shared" si="4"/>
        <v>SMB Rev Mo 123</v>
      </c>
      <c r="DW5" s="95" t="str">
        <f t="shared" si="4"/>
        <v>SMB Rev Mo 124</v>
      </c>
      <c r="DX5" s="95" t="str">
        <f t="shared" si="4"/>
        <v>SMB Rev Mo 125</v>
      </c>
      <c r="DY5" s="95" t="str">
        <f t="shared" si="4"/>
        <v>SMB Rev Mo 126</v>
      </c>
      <c r="DZ5" s="95" t="str">
        <f t="shared" si="4"/>
        <v>SMB Rev Mo 127</v>
      </c>
      <c r="EA5" s="95" t="str">
        <f t="shared" si="4"/>
        <v>SMB Rev Mo 128</v>
      </c>
      <c r="EB5" s="95" t="str">
        <f t="shared" ref="EB5:GA5" si="5">"SMB Rev Mo "&amp;EB$4</f>
        <v>SMB Rev Mo 129</v>
      </c>
      <c r="EC5" s="95" t="str">
        <f t="shared" si="5"/>
        <v>SMB Rev Mo 130</v>
      </c>
      <c r="ED5" s="95" t="str">
        <f t="shared" si="5"/>
        <v>SMB Rev Mo 131</v>
      </c>
      <c r="EE5" s="95" t="str">
        <f t="shared" si="5"/>
        <v>SMB Rev Mo 132</v>
      </c>
      <c r="EF5" s="95" t="str">
        <f t="shared" si="5"/>
        <v>SMB Rev Mo 133</v>
      </c>
      <c r="EG5" s="95" t="str">
        <f t="shared" si="5"/>
        <v>SMB Rev Mo 134</v>
      </c>
      <c r="EH5" s="95" t="str">
        <f t="shared" si="5"/>
        <v>SMB Rev Mo 135</v>
      </c>
      <c r="EI5" s="95" t="str">
        <f t="shared" si="5"/>
        <v>SMB Rev Mo 136</v>
      </c>
      <c r="EJ5" s="95" t="str">
        <f t="shared" si="5"/>
        <v>SMB Rev Mo 137</v>
      </c>
      <c r="EK5" s="95" t="str">
        <f t="shared" si="5"/>
        <v>SMB Rev Mo 138</v>
      </c>
      <c r="EL5" s="95" t="str">
        <f t="shared" si="5"/>
        <v>SMB Rev Mo 139</v>
      </c>
      <c r="EM5" s="95" t="str">
        <f t="shared" si="5"/>
        <v>SMB Rev Mo 140</v>
      </c>
      <c r="EN5" s="95" t="str">
        <f t="shared" si="5"/>
        <v>SMB Rev Mo 141</v>
      </c>
      <c r="EO5" s="95" t="str">
        <f t="shared" si="5"/>
        <v>SMB Rev Mo 142</v>
      </c>
      <c r="EP5" s="95" t="str">
        <f t="shared" si="5"/>
        <v>SMB Rev Mo 143</v>
      </c>
      <c r="EQ5" s="95" t="str">
        <f t="shared" si="5"/>
        <v>SMB Rev Mo 144</v>
      </c>
      <c r="ER5" s="95" t="str">
        <f t="shared" si="5"/>
        <v>SMB Rev Mo 145</v>
      </c>
      <c r="ES5" s="95" t="str">
        <f t="shared" si="5"/>
        <v>SMB Rev Mo 146</v>
      </c>
      <c r="ET5" s="95" t="str">
        <f t="shared" si="5"/>
        <v>SMB Rev Mo 147</v>
      </c>
      <c r="EU5" s="95" t="str">
        <f t="shared" si="5"/>
        <v>SMB Rev Mo 148</v>
      </c>
      <c r="EV5" s="95" t="str">
        <f t="shared" si="5"/>
        <v>SMB Rev Mo 149</v>
      </c>
      <c r="EW5" s="95" t="str">
        <f t="shared" si="5"/>
        <v>SMB Rev Mo 150</v>
      </c>
      <c r="EX5" s="95" t="str">
        <f t="shared" si="5"/>
        <v>SMB Rev Mo 151</v>
      </c>
      <c r="EY5" s="95" t="str">
        <f t="shared" si="5"/>
        <v>SMB Rev Mo 152</v>
      </c>
      <c r="EZ5" s="95" t="str">
        <f t="shared" si="5"/>
        <v>SMB Rev Mo 153</v>
      </c>
      <c r="FA5" s="95" t="str">
        <f t="shared" si="5"/>
        <v>SMB Rev Mo 154</v>
      </c>
      <c r="FB5" s="95" t="str">
        <f t="shared" si="5"/>
        <v>SMB Rev Mo 155</v>
      </c>
      <c r="FC5" s="95" t="str">
        <f t="shared" si="5"/>
        <v>SMB Rev Mo 156</v>
      </c>
      <c r="FD5" s="95" t="str">
        <f t="shared" si="5"/>
        <v>SMB Rev Mo 157</v>
      </c>
      <c r="FE5" s="95" t="str">
        <f t="shared" si="5"/>
        <v>SMB Rev Mo 158</v>
      </c>
      <c r="FF5" s="95" t="str">
        <f t="shared" si="5"/>
        <v>SMB Rev Mo 159</v>
      </c>
      <c r="FG5" s="95" t="str">
        <f t="shared" si="5"/>
        <v>SMB Rev Mo 160</v>
      </c>
      <c r="FH5" s="95" t="str">
        <f t="shared" si="5"/>
        <v>SMB Rev Mo 161</v>
      </c>
      <c r="FI5" s="95" t="str">
        <f t="shared" si="5"/>
        <v>SMB Rev Mo 162</v>
      </c>
      <c r="FJ5" s="95" t="str">
        <f t="shared" si="5"/>
        <v>SMB Rev Mo 163</v>
      </c>
      <c r="FK5" s="95" t="str">
        <f t="shared" si="5"/>
        <v>SMB Rev Mo 164</v>
      </c>
      <c r="FL5" s="95" t="str">
        <f t="shared" si="5"/>
        <v>SMB Rev Mo 165</v>
      </c>
      <c r="FM5" s="95" t="str">
        <f t="shared" si="5"/>
        <v>SMB Rev Mo 166</v>
      </c>
      <c r="FN5" s="95" t="str">
        <f t="shared" si="5"/>
        <v>SMB Rev Mo 167</v>
      </c>
      <c r="FO5" s="95" t="str">
        <f t="shared" si="5"/>
        <v>SMB Rev Mo 168</v>
      </c>
      <c r="FP5" s="95" t="str">
        <f t="shared" si="5"/>
        <v>SMB Rev Mo 169</v>
      </c>
      <c r="FQ5" s="95" t="str">
        <f t="shared" si="5"/>
        <v>SMB Rev Mo 170</v>
      </c>
      <c r="FR5" s="95" t="str">
        <f t="shared" si="5"/>
        <v>SMB Rev Mo 171</v>
      </c>
      <c r="FS5" s="95" t="str">
        <f t="shared" si="5"/>
        <v>SMB Rev Mo 172</v>
      </c>
      <c r="FT5" s="95" t="str">
        <f t="shared" si="5"/>
        <v>SMB Rev Mo 173</v>
      </c>
      <c r="FU5" s="95" t="str">
        <f t="shared" si="5"/>
        <v>SMB Rev Mo 174</v>
      </c>
      <c r="FV5" s="95" t="str">
        <f t="shared" si="5"/>
        <v>SMB Rev Mo 175</v>
      </c>
      <c r="FW5" s="95" t="str">
        <f t="shared" si="5"/>
        <v>SMB Rev Mo 176</v>
      </c>
      <c r="FX5" s="95" t="str">
        <f t="shared" si="5"/>
        <v>SMB Rev Mo 177</v>
      </c>
      <c r="FY5" s="95" t="str">
        <f t="shared" si="5"/>
        <v>SMB Rev Mo 178</v>
      </c>
      <c r="FZ5" s="95" t="str">
        <f t="shared" si="5"/>
        <v>SMB Rev Mo 179</v>
      </c>
      <c r="GA5" s="95" t="str">
        <f t="shared" si="5"/>
        <v>SMB Rev Mo 180</v>
      </c>
      <c r="GB5" s="96"/>
      <c r="GC5" s="97"/>
    </row>
    <row r="6" spans="1:189" ht="16.5" customHeight="1">
      <c r="A6" s="1"/>
      <c r="B6" s="65"/>
      <c r="C6" s="98">
        <f t="shared" ref="C6:AH6" si="6">IFERROR(IF(C$4&lt;2,0,IF(C$4&lt;=36,SMBCalcQBs*C$21*SMBARPUCalc,B6*(1-SMBChurn))),0)</f>
        <v>0</v>
      </c>
      <c r="D6" s="99">
        <f t="shared" si="6"/>
        <v>0</v>
      </c>
      <c r="E6" s="99">
        <f t="shared" si="6"/>
        <v>0</v>
      </c>
      <c r="F6" s="99">
        <f t="shared" si="6"/>
        <v>0</v>
      </c>
      <c r="G6" s="99">
        <f t="shared" si="6"/>
        <v>0</v>
      </c>
      <c r="H6" s="99">
        <f t="shared" si="6"/>
        <v>0</v>
      </c>
      <c r="I6" s="99">
        <f t="shared" si="6"/>
        <v>0</v>
      </c>
      <c r="J6" s="99">
        <f t="shared" si="6"/>
        <v>0</v>
      </c>
      <c r="K6" s="99">
        <f t="shared" si="6"/>
        <v>0</v>
      </c>
      <c r="L6" s="99">
        <f t="shared" si="6"/>
        <v>0</v>
      </c>
      <c r="M6" s="99">
        <f t="shared" si="6"/>
        <v>0</v>
      </c>
      <c r="N6" s="99">
        <f t="shared" si="6"/>
        <v>0</v>
      </c>
      <c r="O6" s="99">
        <f t="shared" si="6"/>
        <v>0</v>
      </c>
      <c r="P6" s="99">
        <f t="shared" si="6"/>
        <v>0</v>
      </c>
      <c r="Q6" s="99">
        <f t="shared" si="6"/>
        <v>0</v>
      </c>
      <c r="R6" s="99">
        <f t="shared" si="6"/>
        <v>0</v>
      </c>
      <c r="S6" s="99">
        <f t="shared" si="6"/>
        <v>0</v>
      </c>
      <c r="T6" s="99">
        <f t="shared" si="6"/>
        <v>0</v>
      </c>
      <c r="U6" s="99">
        <f t="shared" si="6"/>
        <v>0</v>
      </c>
      <c r="V6" s="99">
        <f t="shared" si="6"/>
        <v>0</v>
      </c>
      <c r="W6" s="99">
        <f t="shared" si="6"/>
        <v>0</v>
      </c>
      <c r="X6" s="99">
        <f t="shared" si="6"/>
        <v>0</v>
      </c>
      <c r="Y6" s="99">
        <f t="shared" si="6"/>
        <v>0</v>
      </c>
      <c r="Z6" s="99">
        <f t="shared" si="6"/>
        <v>0</v>
      </c>
      <c r="AA6" s="99">
        <f t="shared" si="6"/>
        <v>0</v>
      </c>
      <c r="AB6" s="99">
        <f t="shared" si="6"/>
        <v>0</v>
      </c>
      <c r="AC6" s="99">
        <f t="shared" si="6"/>
        <v>0</v>
      </c>
      <c r="AD6" s="99">
        <f t="shared" si="6"/>
        <v>0</v>
      </c>
      <c r="AE6" s="99">
        <f t="shared" si="6"/>
        <v>0</v>
      </c>
      <c r="AF6" s="99">
        <f t="shared" si="6"/>
        <v>0</v>
      </c>
      <c r="AG6" s="99">
        <f t="shared" si="6"/>
        <v>0</v>
      </c>
      <c r="AH6" s="99">
        <f t="shared" si="6"/>
        <v>0</v>
      </c>
      <c r="AI6" s="99">
        <f t="shared" ref="AI6:BN6" si="7">IFERROR(IF(AI$4&lt;2,0,IF(AI$4&lt;=36,SMBCalcQBs*AI$21*SMBARPUCalc,AH6*(1-SMBChurn))),0)</f>
        <v>0</v>
      </c>
      <c r="AJ6" s="99">
        <f t="shared" si="7"/>
        <v>0</v>
      </c>
      <c r="AK6" s="99">
        <f t="shared" si="7"/>
        <v>0</v>
      </c>
      <c r="AL6" s="99">
        <f t="shared" si="7"/>
        <v>0</v>
      </c>
      <c r="AM6" s="99">
        <f t="shared" si="7"/>
        <v>0</v>
      </c>
      <c r="AN6" s="99">
        <f t="shared" si="7"/>
        <v>0</v>
      </c>
      <c r="AO6" s="99">
        <f t="shared" si="7"/>
        <v>0</v>
      </c>
      <c r="AP6" s="99">
        <f t="shared" si="7"/>
        <v>0</v>
      </c>
      <c r="AQ6" s="99">
        <f t="shared" si="7"/>
        <v>0</v>
      </c>
      <c r="AR6" s="99">
        <f t="shared" si="7"/>
        <v>0</v>
      </c>
      <c r="AS6" s="99">
        <f t="shared" si="7"/>
        <v>0</v>
      </c>
      <c r="AT6" s="99">
        <f t="shared" si="7"/>
        <v>0</v>
      </c>
      <c r="AU6" s="99">
        <f t="shared" si="7"/>
        <v>0</v>
      </c>
      <c r="AV6" s="99">
        <f t="shared" si="7"/>
        <v>0</v>
      </c>
      <c r="AW6" s="99">
        <f t="shared" si="7"/>
        <v>0</v>
      </c>
      <c r="AX6" s="99">
        <f t="shared" si="7"/>
        <v>0</v>
      </c>
      <c r="AY6" s="99">
        <f t="shared" si="7"/>
        <v>0</v>
      </c>
      <c r="AZ6" s="99">
        <f t="shared" si="7"/>
        <v>0</v>
      </c>
      <c r="BA6" s="99">
        <f t="shared" si="7"/>
        <v>0</v>
      </c>
      <c r="BB6" s="99">
        <f t="shared" si="7"/>
        <v>0</v>
      </c>
      <c r="BC6" s="99">
        <f t="shared" si="7"/>
        <v>0</v>
      </c>
      <c r="BD6" s="99">
        <f t="shared" si="7"/>
        <v>0</v>
      </c>
      <c r="BE6" s="99">
        <f t="shared" si="7"/>
        <v>0</v>
      </c>
      <c r="BF6" s="99">
        <f t="shared" si="7"/>
        <v>0</v>
      </c>
      <c r="BG6" s="99">
        <f t="shared" si="7"/>
        <v>0</v>
      </c>
      <c r="BH6" s="99">
        <f t="shared" si="7"/>
        <v>0</v>
      </c>
      <c r="BI6" s="99">
        <f t="shared" si="7"/>
        <v>0</v>
      </c>
      <c r="BJ6" s="99">
        <f t="shared" si="7"/>
        <v>0</v>
      </c>
      <c r="BK6" s="99">
        <f t="shared" si="7"/>
        <v>0</v>
      </c>
      <c r="BL6" s="99">
        <f t="shared" si="7"/>
        <v>0</v>
      </c>
      <c r="BM6" s="99">
        <f t="shared" si="7"/>
        <v>0</v>
      </c>
      <c r="BN6" s="99">
        <f t="shared" si="7"/>
        <v>0</v>
      </c>
      <c r="BO6" s="99">
        <f t="shared" ref="BO6:CT6" si="8">IFERROR(IF(BO$4&lt;2,0,IF(BO$4&lt;=36,SMBCalcQBs*BO$21*SMBARPUCalc,BN6*(1-SMBChurn))),0)</f>
        <v>0</v>
      </c>
      <c r="BP6" s="99">
        <f t="shared" si="8"/>
        <v>0</v>
      </c>
      <c r="BQ6" s="99">
        <f t="shared" si="8"/>
        <v>0</v>
      </c>
      <c r="BR6" s="99">
        <f t="shared" si="8"/>
        <v>0</v>
      </c>
      <c r="BS6" s="99">
        <f t="shared" si="8"/>
        <v>0</v>
      </c>
      <c r="BT6" s="99">
        <f t="shared" si="8"/>
        <v>0</v>
      </c>
      <c r="BU6" s="99">
        <f t="shared" si="8"/>
        <v>0</v>
      </c>
      <c r="BV6" s="99">
        <f t="shared" si="8"/>
        <v>0</v>
      </c>
      <c r="BW6" s="99">
        <f t="shared" si="8"/>
        <v>0</v>
      </c>
      <c r="BX6" s="99">
        <f t="shared" si="8"/>
        <v>0</v>
      </c>
      <c r="BY6" s="99">
        <f t="shared" si="8"/>
        <v>0</v>
      </c>
      <c r="BZ6" s="99">
        <f t="shared" si="8"/>
        <v>0</v>
      </c>
      <c r="CA6" s="99">
        <f t="shared" si="8"/>
        <v>0</v>
      </c>
      <c r="CB6" s="99">
        <f t="shared" si="8"/>
        <v>0</v>
      </c>
      <c r="CC6" s="99">
        <f t="shared" si="8"/>
        <v>0</v>
      </c>
      <c r="CD6" s="99">
        <f t="shared" si="8"/>
        <v>0</v>
      </c>
      <c r="CE6" s="99">
        <f t="shared" si="8"/>
        <v>0</v>
      </c>
      <c r="CF6" s="99">
        <f t="shared" si="8"/>
        <v>0</v>
      </c>
      <c r="CG6" s="99">
        <f t="shared" si="8"/>
        <v>0</v>
      </c>
      <c r="CH6" s="99">
        <f t="shared" si="8"/>
        <v>0</v>
      </c>
      <c r="CI6" s="99">
        <f t="shared" si="8"/>
        <v>0</v>
      </c>
      <c r="CJ6" s="99">
        <f t="shared" si="8"/>
        <v>0</v>
      </c>
      <c r="CK6" s="99">
        <f t="shared" si="8"/>
        <v>0</v>
      </c>
      <c r="CL6" s="99">
        <f t="shared" si="8"/>
        <v>0</v>
      </c>
      <c r="CM6" s="99">
        <f t="shared" si="8"/>
        <v>0</v>
      </c>
      <c r="CN6" s="99">
        <f t="shared" si="8"/>
        <v>0</v>
      </c>
      <c r="CO6" s="99">
        <f t="shared" si="8"/>
        <v>0</v>
      </c>
      <c r="CP6" s="99">
        <f t="shared" si="8"/>
        <v>0</v>
      </c>
      <c r="CQ6" s="99">
        <f t="shared" si="8"/>
        <v>0</v>
      </c>
      <c r="CR6" s="99">
        <f t="shared" si="8"/>
        <v>0</v>
      </c>
      <c r="CS6" s="99">
        <f t="shared" si="8"/>
        <v>0</v>
      </c>
      <c r="CT6" s="99">
        <f t="shared" si="8"/>
        <v>0</v>
      </c>
      <c r="CU6" s="99">
        <f t="shared" ref="CU6:DZ6" si="9">IFERROR(IF(CU$4&lt;2,0,IF(CU$4&lt;=36,SMBCalcQBs*CU$21*SMBARPUCalc,CT6*(1-SMBChurn))),0)</f>
        <v>0</v>
      </c>
      <c r="CV6" s="99">
        <f t="shared" si="9"/>
        <v>0</v>
      </c>
      <c r="CW6" s="99">
        <f t="shared" si="9"/>
        <v>0</v>
      </c>
      <c r="CX6" s="99">
        <f t="shared" si="9"/>
        <v>0</v>
      </c>
      <c r="CY6" s="99">
        <f t="shared" si="9"/>
        <v>0</v>
      </c>
      <c r="CZ6" s="99">
        <f t="shared" si="9"/>
        <v>0</v>
      </c>
      <c r="DA6" s="99">
        <f t="shared" si="9"/>
        <v>0</v>
      </c>
      <c r="DB6" s="99">
        <f t="shared" si="9"/>
        <v>0</v>
      </c>
      <c r="DC6" s="99">
        <f t="shared" si="9"/>
        <v>0</v>
      </c>
      <c r="DD6" s="99">
        <f t="shared" si="9"/>
        <v>0</v>
      </c>
      <c r="DE6" s="99">
        <f t="shared" si="9"/>
        <v>0</v>
      </c>
      <c r="DF6" s="99">
        <f t="shared" si="9"/>
        <v>0</v>
      </c>
      <c r="DG6" s="99">
        <f t="shared" si="9"/>
        <v>0</v>
      </c>
      <c r="DH6" s="99">
        <f t="shared" si="9"/>
        <v>0</v>
      </c>
      <c r="DI6" s="99">
        <f t="shared" si="9"/>
        <v>0</v>
      </c>
      <c r="DJ6" s="99">
        <f t="shared" si="9"/>
        <v>0</v>
      </c>
      <c r="DK6" s="99">
        <f t="shared" si="9"/>
        <v>0</v>
      </c>
      <c r="DL6" s="99">
        <f t="shared" si="9"/>
        <v>0</v>
      </c>
      <c r="DM6" s="99">
        <f t="shared" si="9"/>
        <v>0</v>
      </c>
      <c r="DN6" s="99">
        <f t="shared" si="9"/>
        <v>0</v>
      </c>
      <c r="DO6" s="99">
        <f t="shared" si="9"/>
        <v>0</v>
      </c>
      <c r="DP6" s="99">
        <f t="shared" si="9"/>
        <v>0</v>
      </c>
      <c r="DQ6" s="99">
        <f t="shared" si="9"/>
        <v>0</v>
      </c>
      <c r="DR6" s="99">
        <f t="shared" si="9"/>
        <v>0</v>
      </c>
      <c r="DS6" s="99">
        <f t="shared" si="9"/>
        <v>0</v>
      </c>
      <c r="DT6" s="99">
        <f t="shared" si="9"/>
        <v>0</v>
      </c>
      <c r="DU6" s="99">
        <f t="shared" si="9"/>
        <v>0</v>
      </c>
      <c r="DV6" s="99">
        <f t="shared" si="9"/>
        <v>0</v>
      </c>
      <c r="DW6" s="99">
        <f t="shared" si="9"/>
        <v>0</v>
      </c>
      <c r="DX6" s="99">
        <f t="shared" si="9"/>
        <v>0</v>
      </c>
      <c r="DY6" s="99">
        <f t="shared" si="9"/>
        <v>0</v>
      </c>
      <c r="DZ6" s="99">
        <f t="shared" si="9"/>
        <v>0</v>
      </c>
      <c r="EA6" s="99">
        <f t="shared" ref="EA6:FF6" si="10">IFERROR(IF(EA$4&lt;2,0,IF(EA$4&lt;=36,SMBCalcQBs*EA$21*SMBARPUCalc,DZ6*(1-SMBChurn))),0)</f>
        <v>0</v>
      </c>
      <c r="EB6" s="99">
        <f t="shared" si="10"/>
        <v>0</v>
      </c>
      <c r="EC6" s="99">
        <f t="shared" si="10"/>
        <v>0</v>
      </c>
      <c r="ED6" s="99">
        <f t="shared" si="10"/>
        <v>0</v>
      </c>
      <c r="EE6" s="99">
        <f t="shared" si="10"/>
        <v>0</v>
      </c>
      <c r="EF6" s="99">
        <f t="shared" si="10"/>
        <v>0</v>
      </c>
      <c r="EG6" s="99">
        <f t="shared" si="10"/>
        <v>0</v>
      </c>
      <c r="EH6" s="99">
        <f t="shared" si="10"/>
        <v>0</v>
      </c>
      <c r="EI6" s="99">
        <f t="shared" si="10"/>
        <v>0</v>
      </c>
      <c r="EJ6" s="99">
        <f t="shared" si="10"/>
        <v>0</v>
      </c>
      <c r="EK6" s="99">
        <f t="shared" si="10"/>
        <v>0</v>
      </c>
      <c r="EL6" s="99">
        <f t="shared" si="10"/>
        <v>0</v>
      </c>
      <c r="EM6" s="99">
        <f t="shared" si="10"/>
        <v>0</v>
      </c>
      <c r="EN6" s="99">
        <f t="shared" si="10"/>
        <v>0</v>
      </c>
      <c r="EO6" s="99">
        <f t="shared" si="10"/>
        <v>0</v>
      </c>
      <c r="EP6" s="99">
        <f t="shared" si="10"/>
        <v>0</v>
      </c>
      <c r="EQ6" s="99">
        <f t="shared" si="10"/>
        <v>0</v>
      </c>
      <c r="ER6" s="99">
        <f t="shared" si="10"/>
        <v>0</v>
      </c>
      <c r="ES6" s="99">
        <f t="shared" si="10"/>
        <v>0</v>
      </c>
      <c r="ET6" s="99">
        <f t="shared" si="10"/>
        <v>0</v>
      </c>
      <c r="EU6" s="99">
        <f t="shared" si="10"/>
        <v>0</v>
      </c>
      <c r="EV6" s="99">
        <f t="shared" si="10"/>
        <v>0</v>
      </c>
      <c r="EW6" s="99">
        <f t="shared" si="10"/>
        <v>0</v>
      </c>
      <c r="EX6" s="99">
        <f t="shared" si="10"/>
        <v>0</v>
      </c>
      <c r="EY6" s="99">
        <f t="shared" si="10"/>
        <v>0</v>
      </c>
      <c r="EZ6" s="99">
        <f t="shared" si="10"/>
        <v>0</v>
      </c>
      <c r="FA6" s="99">
        <f t="shared" si="10"/>
        <v>0</v>
      </c>
      <c r="FB6" s="99">
        <f t="shared" si="10"/>
        <v>0</v>
      </c>
      <c r="FC6" s="99">
        <f t="shared" si="10"/>
        <v>0</v>
      </c>
      <c r="FD6" s="99">
        <f t="shared" si="10"/>
        <v>0</v>
      </c>
      <c r="FE6" s="99">
        <f t="shared" si="10"/>
        <v>0</v>
      </c>
      <c r="FF6" s="99">
        <f t="shared" si="10"/>
        <v>0</v>
      </c>
      <c r="FG6" s="99">
        <f t="shared" ref="FG6:GA6" si="11">IFERROR(IF(FG$4&lt;2,0,IF(FG$4&lt;=36,SMBCalcQBs*FG$21*SMBARPUCalc,FF6*(1-SMBChurn))),0)</f>
        <v>0</v>
      </c>
      <c r="FH6" s="99">
        <f t="shared" si="11"/>
        <v>0</v>
      </c>
      <c r="FI6" s="99">
        <f t="shared" si="11"/>
        <v>0</v>
      </c>
      <c r="FJ6" s="99">
        <f t="shared" si="11"/>
        <v>0</v>
      </c>
      <c r="FK6" s="99">
        <f t="shared" si="11"/>
        <v>0</v>
      </c>
      <c r="FL6" s="99">
        <f t="shared" si="11"/>
        <v>0</v>
      </c>
      <c r="FM6" s="99">
        <f t="shared" si="11"/>
        <v>0</v>
      </c>
      <c r="FN6" s="99">
        <f t="shared" si="11"/>
        <v>0</v>
      </c>
      <c r="FO6" s="99">
        <f t="shared" si="11"/>
        <v>0</v>
      </c>
      <c r="FP6" s="99">
        <f t="shared" si="11"/>
        <v>0</v>
      </c>
      <c r="FQ6" s="99">
        <f t="shared" si="11"/>
        <v>0</v>
      </c>
      <c r="FR6" s="99">
        <f t="shared" si="11"/>
        <v>0</v>
      </c>
      <c r="FS6" s="99">
        <f t="shared" si="11"/>
        <v>0</v>
      </c>
      <c r="FT6" s="99">
        <f t="shared" si="11"/>
        <v>0</v>
      </c>
      <c r="FU6" s="99">
        <f t="shared" si="11"/>
        <v>0</v>
      </c>
      <c r="FV6" s="99">
        <f t="shared" si="11"/>
        <v>0</v>
      </c>
      <c r="FW6" s="99">
        <f t="shared" si="11"/>
        <v>0</v>
      </c>
      <c r="FX6" s="99">
        <f t="shared" si="11"/>
        <v>0</v>
      </c>
      <c r="FY6" s="99">
        <f t="shared" si="11"/>
        <v>0</v>
      </c>
      <c r="FZ6" s="99">
        <f t="shared" si="11"/>
        <v>0</v>
      </c>
      <c r="GA6" s="99">
        <f t="shared" si="11"/>
        <v>0</v>
      </c>
      <c r="GB6" s="100"/>
      <c r="GC6" s="2"/>
      <c r="GD6" s="2"/>
      <c r="GE6" s="2"/>
      <c r="GF6" s="2"/>
      <c r="GG6" s="2"/>
    </row>
    <row r="7" spans="1:189" ht="6.75" customHeight="1">
      <c r="A7" s="1"/>
      <c r="B7" s="65"/>
      <c r="C7" s="65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66"/>
    </row>
    <row r="8" spans="1:189" s="11" customFormat="1" ht="33">
      <c r="B8" s="93"/>
      <c r="C8" s="94" t="str">
        <f>"ENT Rev Mo "&amp;C$4</f>
        <v>ENT Rev Mo 0</v>
      </c>
      <c r="D8" s="95" t="str">
        <f t="shared" ref="D8:BO8" si="12">"ENT Rev Mo "&amp;D$4</f>
        <v>ENT Rev Mo 1</v>
      </c>
      <c r="E8" s="95" t="str">
        <f t="shared" si="12"/>
        <v>ENT Rev Mo 2</v>
      </c>
      <c r="F8" s="95" t="str">
        <f t="shared" si="12"/>
        <v>ENT Rev Mo 3</v>
      </c>
      <c r="G8" s="95" t="str">
        <f t="shared" si="12"/>
        <v>ENT Rev Mo 4</v>
      </c>
      <c r="H8" s="95" t="str">
        <f t="shared" si="12"/>
        <v>ENT Rev Mo 5</v>
      </c>
      <c r="I8" s="95" t="str">
        <f t="shared" si="12"/>
        <v>ENT Rev Mo 6</v>
      </c>
      <c r="J8" s="95" t="str">
        <f t="shared" si="12"/>
        <v>ENT Rev Mo 7</v>
      </c>
      <c r="K8" s="95" t="str">
        <f t="shared" si="12"/>
        <v>ENT Rev Mo 8</v>
      </c>
      <c r="L8" s="95" t="str">
        <f t="shared" si="12"/>
        <v>ENT Rev Mo 9</v>
      </c>
      <c r="M8" s="95" t="str">
        <f t="shared" si="12"/>
        <v>ENT Rev Mo 10</v>
      </c>
      <c r="N8" s="95" t="str">
        <f t="shared" si="12"/>
        <v>ENT Rev Mo 11</v>
      </c>
      <c r="O8" s="95" t="str">
        <f t="shared" si="12"/>
        <v>ENT Rev Mo 12</v>
      </c>
      <c r="P8" s="95" t="str">
        <f t="shared" si="12"/>
        <v>ENT Rev Mo 13</v>
      </c>
      <c r="Q8" s="95" t="str">
        <f t="shared" si="12"/>
        <v>ENT Rev Mo 14</v>
      </c>
      <c r="R8" s="95" t="str">
        <f t="shared" si="12"/>
        <v>ENT Rev Mo 15</v>
      </c>
      <c r="S8" s="95" t="str">
        <f t="shared" si="12"/>
        <v>ENT Rev Mo 16</v>
      </c>
      <c r="T8" s="95" t="str">
        <f t="shared" si="12"/>
        <v>ENT Rev Mo 17</v>
      </c>
      <c r="U8" s="95" t="str">
        <f t="shared" si="12"/>
        <v>ENT Rev Mo 18</v>
      </c>
      <c r="V8" s="95" t="str">
        <f t="shared" si="12"/>
        <v>ENT Rev Mo 19</v>
      </c>
      <c r="W8" s="95" t="str">
        <f t="shared" si="12"/>
        <v>ENT Rev Mo 20</v>
      </c>
      <c r="X8" s="95" t="str">
        <f t="shared" si="12"/>
        <v>ENT Rev Mo 21</v>
      </c>
      <c r="Y8" s="95" t="str">
        <f t="shared" si="12"/>
        <v>ENT Rev Mo 22</v>
      </c>
      <c r="Z8" s="95" t="str">
        <f t="shared" si="12"/>
        <v>ENT Rev Mo 23</v>
      </c>
      <c r="AA8" s="95" t="str">
        <f t="shared" si="12"/>
        <v>ENT Rev Mo 24</v>
      </c>
      <c r="AB8" s="95" t="str">
        <f t="shared" si="12"/>
        <v>ENT Rev Mo 25</v>
      </c>
      <c r="AC8" s="95" t="str">
        <f t="shared" si="12"/>
        <v>ENT Rev Mo 26</v>
      </c>
      <c r="AD8" s="95" t="str">
        <f t="shared" si="12"/>
        <v>ENT Rev Mo 27</v>
      </c>
      <c r="AE8" s="95" t="str">
        <f t="shared" si="12"/>
        <v>ENT Rev Mo 28</v>
      </c>
      <c r="AF8" s="95" t="str">
        <f t="shared" si="12"/>
        <v>ENT Rev Mo 29</v>
      </c>
      <c r="AG8" s="95" t="str">
        <f t="shared" si="12"/>
        <v>ENT Rev Mo 30</v>
      </c>
      <c r="AH8" s="95" t="str">
        <f t="shared" si="12"/>
        <v>ENT Rev Mo 31</v>
      </c>
      <c r="AI8" s="95" t="str">
        <f t="shared" si="12"/>
        <v>ENT Rev Mo 32</v>
      </c>
      <c r="AJ8" s="95" t="str">
        <f t="shared" si="12"/>
        <v>ENT Rev Mo 33</v>
      </c>
      <c r="AK8" s="95" t="str">
        <f t="shared" si="12"/>
        <v>ENT Rev Mo 34</v>
      </c>
      <c r="AL8" s="95" t="str">
        <f t="shared" si="12"/>
        <v>ENT Rev Mo 35</v>
      </c>
      <c r="AM8" s="95" t="str">
        <f t="shared" si="12"/>
        <v>ENT Rev Mo 36</v>
      </c>
      <c r="AN8" s="95" t="str">
        <f t="shared" si="12"/>
        <v>ENT Rev Mo 37</v>
      </c>
      <c r="AO8" s="95" t="str">
        <f t="shared" si="12"/>
        <v>ENT Rev Mo 38</v>
      </c>
      <c r="AP8" s="95" t="str">
        <f t="shared" si="12"/>
        <v>ENT Rev Mo 39</v>
      </c>
      <c r="AQ8" s="95" t="str">
        <f t="shared" si="12"/>
        <v>ENT Rev Mo 40</v>
      </c>
      <c r="AR8" s="95" t="str">
        <f t="shared" si="12"/>
        <v>ENT Rev Mo 41</v>
      </c>
      <c r="AS8" s="95" t="str">
        <f t="shared" si="12"/>
        <v>ENT Rev Mo 42</v>
      </c>
      <c r="AT8" s="95" t="str">
        <f t="shared" si="12"/>
        <v>ENT Rev Mo 43</v>
      </c>
      <c r="AU8" s="95" t="str">
        <f t="shared" si="12"/>
        <v>ENT Rev Mo 44</v>
      </c>
      <c r="AV8" s="95" t="str">
        <f t="shared" si="12"/>
        <v>ENT Rev Mo 45</v>
      </c>
      <c r="AW8" s="95" t="str">
        <f t="shared" si="12"/>
        <v>ENT Rev Mo 46</v>
      </c>
      <c r="AX8" s="95" t="str">
        <f t="shared" si="12"/>
        <v>ENT Rev Mo 47</v>
      </c>
      <c r="AY8" s="95" t="str">
        <f t="shared" si="12"/>
        <v>ENT Rev Mo 48</v>
      </c>
      <c r="AZ8" s="95" t="str">
        <f t="shared" si="12"/>
        <v>ENT Rev Mo 49</v>
      </c>
      <c r="BA8" s="95" t="str">
        <f t="shared" si="12"/>
        <v>ENT Rev Mo 50</v>
      </c>
      <c r="BB8" s="95" t="str">
        <f t="shared" si="12"/>
        <v>ENT Rev Mo 51</v>
      </c>
      <c r="BC8" s="95" t="str">
        <f t="shared" si="12"/>
        <v>ENT Rev Mo 52</v>
      </c>
      <c r="BD8" s="95" t="str">
        <f t="shared" si="12"/>
        <v>ENT Rev Mo 53</v>
      </c>
      <c r="BE8" s="95" t="str">
        <f t="shared" si="12"/>
        <v>ENT Rev Mo 54</v>
      </c>
      <c r="BF8" s="95" t="str">
        <f t="shared" si="12"/>
        <v>ENT Rev Mo 55</v>
      </c>
      <c r="BG8" s="95" t="str">
        <f t="shared" si="12"/>
        <v>ENT Rev Mo 56</v>
      </c>
      <c r="BH8" s="95" t="str">
        <f t="shared" si="12"/>
        <v>ENT Rev Mo 57</v>
      </c>
      <c r="BI8" s="95" t="str">
        <f t="shared" si="12"/>
        <v>ENT Rev Mo 58</v>
      </c>
      <c r="BJ8" s="95" t="str">
        <f t="shared" si="12"/>
        <v>ENT Rev Mo 59</v>
      </c>
      <c r="BK8" s="95" t="str">
        <f t="shared" si="12"/>
        <v>ENT Rev Mo 60</v>
      </c>
      <c r="BL8" s="95" t="str">
        <f t="shared" si="12"/>
        <v>ENT Rev Mo 61</v>
      </c>
      <c r="BM8" s="95" t="str">
        <f t="shared" si="12"/>
        <v>ENT Rev Mo 62</v>
      </c>
      <c r="BN8" s="95" t="str">
        <f t="shared" si="12"/>
        <v>ENT Rev Mo 63</v>
      </c>
      <c r="BO8" s="95" t="str">
        <f t="shared" si="12"/>
        <v>ENT Rev Mo 64</v>
      </c>
      <c r="BP8" s="95" t="str">
        <f t="shared" ref="BP8:EA8" si="13">"ENT Rev Mo "&amp;BP$4</f>
        <v>ENT Rev Mo 65</v>
      </c>
      <c r="BQ8" s="95" t="str">
        <f t="shared" si="13"/>
        <v>ENT Rev Mo 66</v>
      </c>
      <c r="BR8" s="95" t="str">
        <f t="shared" si="13"/>
        <v>ENT Rev Mo 67</v>
      </c>
      <c r="BS8" s="95" t="str">
        <f t="shared" si="13"/>
        <v>ENT Rev Mo 68</v>
      </c>
      <c r="BT8" s="95" t="str">
        <f t="shared" si="13"/>
        <v>ENT Rev Mo 69</v>
      </c>
      <c r="BU8" s="95" t="str">
        <f t="shared" si="13"/>
        <v>ENT Rev Mo 70</v>
      </c>
      <c r="BV8" s="95" t="str">
        <f t="shared" si="13"/>
        <v>ENT Rev Mo 71</v>
      </c>
      <c r="BW8" s="95" t="str">
        <f t="shared" si="13"/>
        <v>ENT Rev Mo 72</v>
      </c>
      <c r="BX8" s="95" t="str">
        <f t="shared" si="13"/>
        <v>ENT Rev Mo 73</v>
      </c>
      <c r="BY8" s="95" t="str">
        <f t="shared" si="13"/>
        <v>ENT Rev Mo 74</v>
      </c>
      <c r="BZ8" s="95" t="str">
        <f t="shared" si="13"/>
        <v>ENT Rev Mo 75</v>
      </c>
      <c r="CA8" s="95" t="str">
        <f t="shared" si="13"/>
        <v>ENT Rev Mo 76</v>
      </c>
      <c r="CB8" s="95" t="str">
        <f t="shared" si="13"/>
        <v>ENT Rev Mo 77</v>
      </c>
      <c r="CC8" s="95" t="str">
        <f t="shared" si="13"/>
        <v>ENT Rev Mo 78</v>
      </c>
      <c r="CD8" s="95" t="str">
        <f t="shared" si="13"/>
        <v>ENT Rev Mo 79</v>
      </c>
      <c r="CE8" s="95" t="str">
        <f t="shared" si="13"/>
        <v>ENT Rev Mo 80</v>
      </c>
      <c r="CF8" s="95" t="str">
        <f t="shared" si="13"/>
        <v>ENT Rev Mo 81</v>
      </c>
      <c r="CG8" s="95" t="str">
        <f t="shared" si="13"/>
        <v>ENT Rev Mo 82</v>
      </c>
      <c r="CH8" s="95" t="str">
        <f t="shared" si="13"/>
        <v>ENT Rev Mo 83</v>
      </c>
      <c r="CI8" s="95" t="str">
        <f t="shared" si="13"/>
        <v>ENT Rev Mo 84</v>
      </c>
      <c r="CJ8" s="95" t="str">
        <f t="shared" si="13"/>
        <v>ENT Rev Mo 85</v>
      </c>
      <c r="CK8" s="95" t="str">
        <f t="shared" si="13"/>
        <v>ENT Rev Mo 86</v>
      </c>
      <c r="CL8" s="95" t="str">
        <f t="shared" si="13"/>
        <v>ENT Rev Mo 87</v>
      </c>
      <c r="CM8" s="95" t="str">
        <f t="shared" si="13"/>
        <v>ENT Rev Mo 88</v>
      </c>
      <c r="CN8" s="95" t="str">
        <f t="shared" si="13"/>
        <v>ENT Rev Mo 89</v>
      </c>
      <c r="CO8" s="95" t="str">
        <f t="shared" si="13"/>
        <v>ENT Rev Mo 90</v>
      </c>
      <c r="CP8" s="95" t="str">
        <f t="shared" si="13"/>
        <v>ENT Rev Mo 91</v>
      </c>
      <c r="CQ8" s="95" t="str">
        <f t="shared" si="13"/>
        <v>ENT Rev Mo 92</v>
      </c>
      <c r="CR8" s="95" t="str">
        <f t="shared" si="13"/>
        <v>ENT Rev Mo 93</v>
      </c>
      <c r="CS8" s="95" t="str">
        <f t="shared" si="13"/>
        <v>ENT Rev Mo 94</v>
      </c>
      <c r="CT8" s="95" t="str">
        <f t="shared" si="13"/>
        <v>ENT Rev Mo 95</v>
      </c>
      <c r="CU8" s="95" t="str">
        <f t="shared" si="13"/>
        <v>ENT Rev Mo 96</v>
      </c>
      <c r="CV8" s="95" t="str">
        <f t="shared" si="13"/>
        <v>ENT Rev Mo 97</v>
      </c>
      <c r="CW8" s="95" t="str">
        <f t="shared" si="13"/>
        <v>ENT Rev Mo 98</v>
      </c>
      <c r="CX8" s="95" t="str">
        <f t="shared" si="13"/>
        <v>ENT Rev Mo 99</v>
      </c>
      <c r="CY8" s="95" t="str">
        <f t="shared" si="13"/>
        <v>ENT Rev Mo 100</v>
      </c>
      <c r="CZ8" s="95" t="str">
        <f t="shared" si="13"/>
        <v>ENT Rev Mo 101</v>
      </c>
      <c r="DA8" s="95" t="str">
        <f t="shared" si="13"/>
        <v>ENT Rev Mo 102</v>
      </c>
      <c r="DB8" s="95" t="str">
        <f t="shared" si="13"/>
        <v>ENT Rev Mo 103</v>
      </c>
      <c r="DC8" s="95" t="str">
        <f t="shared" si="13"/>
        <v>ENT Rev Mo 104</v>
      </c>
      <c r="DD8" s="95" t="str">
        <f t="shared" si="13"/>
        <v>ENT Rev Mo 105</v>
      </c>
      <c r="DE8" s="95" t="str">
        <f t="shared" si="13"/>
        <v>ENT Rev Mo 106</v>
      </c>
      <c r="DF8" s="95" t="str">
        <f t="shared" si="13"/>
        <v>ENT Rev Mo 107</v>
      </c>
      <c r="DG8" s="95" t="str">
        <f t="shared" si="13"/>
        <v>ENT Rev Mo 108</v>
      </c>
      <c r="DH8" s="95" t="str">
        <f t="shared" si="13"/>
        <v>ENT Rev Mo 109</v>
      </c>
      <c r="DI8" s="95" t="str">
        <f t="shared" si="13"/>
        <v>ENT Rev Mo 110</v>
      </c>
      <c r="DJ8" s="95" t="str">
        <f t="shared" si="13"/>
        <v>ENT Rev Mo 111</v>
      </c>
      <c r="DK8" s="95" t="str">
        <f t="shared" si="13"/>
        <v>ENT Rev Mo 112</v>
      </c>
      <c r="DL8" s="95" t="str">
        <f t="shared" si="13"/>
        <v>ENT Rev Mo 113</v>
      </c>
      <c r="DM8" s="95" t="str">
        <f t="shared" si="13"/>
        <v>ENT Rev Mo 114</v>
      </c>
      <c r="DN8" s="95" t="str">
        <f t="shared" si="13"/>
        <v>ENT Rev Mo 115</v>
      </c>
      <c r="DO8" s="95" t="str">
        <f t="shared" si="13"/>
        <v>ENT Rev Mo 116</v>
      </c>
      <c r="DP8" s="95" t="str">
        <f t="shared" si="13"/>
        <v>ENT Rev Mo 117</v>
      </c>
      <c r="DQ8" s="95" t="str">
        <f t="shared" si="13"/>
        <v>ENT Rev Mo 118</v>
      </c>
      <c r="DR8" s="95" t="str">
        <f t="shared" si="13"/>
        <v>ENT Rev Mo 119</v>
      </c>
      <c r="DS8" s="95" t="str">
        <f t="shared" si="13"/>
        <v>ENT Rev Mo 120</v>
      </c>
      <c r="DT8" s="95" t="str">
        <f t="shared" si="13"/>
        <v>ENT Rev Mo 121</v>
      </c>
      <c r="DU8" s="95" t="str">
        <f t="shared" si="13"/>
        <v>ENT Rev Mo 122</v>
      </c>
      <c r="DV8" s="95" t="str">
        <f t="shared" si="13"/>
        <v>ENT Rev Mo 123</v>
      </c>
      <c r="DW8" s="95" t="str">
        <f t="shared" si="13"/>
        <v>ENT Rev Mo 124</v>
      </c>
      <c r="DX8" s="95" t="str">
        <f t="shared" si="13"/>
        <v>ENT Rev Mo 125</v>
      </c>
      <c r="DY8" s="95" t="str">
        <f t="shared" si="13"/>
        <v>ENT Rev Mo 126</v>
      </c>
      <c r="DZ8" s="95" t="str">
        <f t="shared" si="13"/>
        <v>ENT Rev Mo 127</v>
      </c>
      <c r="EA8" s="95" t="str">
        <f t="shared" si="13"/>
        <v>ENT Rev Mo 128</v>
      </c>
      <c r="EB8" s="95" t="str">
        <f t="shared" ref="EB8:GA8" si="14">"ENT Rev Mo "&amp;EB$4</f>
        <v>ENT Rev Mo 129</v>
      </c>
      <c r="EC8" s="95" t="str">
        <f t="shared" si="14"/>
        <v>ENT Rev Mo 130</v>
      </c>
      <c r="ED8" s="95" t="str">
        <f t="shared" si="14"/>
        <v>ENT Rev Mo 131</v>
      </c>
      <c r="EE8" s="95" t="str">
        <f t="shared" si="14"/>
        <v>ENT Rev Mo 132</v>
      </c>
      <c r="EF8" s="95" t="str">
        <f t="shared" si="14"/>
        <v>ENT Rev Mo 133</v>
      </c>
      <c r="EG8" s="95" t="str">
        <f t="shared" si="14"/>
        <v>ENT Rev Mo 134</v>
      </c>
      <c r="EH8" s="95" t="str">
        <f t="shared" si="14"/>
        <v>ENT Rev Mo 135</v>
      </c>
      <c r="EI8" s="95" t="str">
        <f t="shared" si="14"/>
        <v>ENT Rev Mo 136</v>
      </c>
      <c r="EJ8" s="95" t="str">
        <f t="shared" si="14"/>
        <v>ENT Rev Mo 137</v>
      </c>
      <c r="EK8" s="95" t="str">
        <f t="shared" si="14"/>
        <v>ENT Rev Mo 138</v>
      </c>
      <c r="EL8" s="95" t="str">
        <f t="shared" si="14"/>
        <v>ENT Rev Mo 139</v>
      </c>
      <c r="EM8" s="95" t="str">
        <f t="shared" si="14"/>
        <v>ENT Rev Mo 140</v>
      </c>
      <c r="EN8" s="95" t="str">
        <f t="shared" si="14"/>
        <v>ENT Rev Mo 141</v>
      </c>
      <c r="EO8" s="95" t="str">
        <f t="shared" si="14"/>
        <v>ENT Rev Mo 142</v>
      </c>
      <c r="EP8" s="95" t="str">
        <f t="shared" si="14"/>
        <v>ENT Rev Mo 143</v>
      </c>
      <c r="EQ8" s="95" t="str">
        <f t="shared" si="14"/>
        <v>ENT Rev Mo 144</v>
      </c>
      <c r="ER8" s="95" t="str">
        <f t="shared" si="14"/>
        <v>ENT Rev Mo 145</v>
      </c>
      <c r="ES8" s="95" t="str">
        <f t="shared" si="14"/>
        <v>ENT Rev Mo 146</v>
      </c>
      <c r="ET8" s="95" t="str">
        <f t="shared" si="14"/>
        <v>ENT Rev Mo 147</v>
      </c>
      <c r="EU8" s="95" t="str">
        <f t="shared" si="14"/>
        <v>ENT Rev Mo 148</v>
      </c>
      <c r="EV8" s="95" t="str">
        <f t="shared" si="14"/>
        <v>ENT Rev Mo 149</v>
      </c>
      <c r="EW8" s="95" t="str">
        <f t="shared" si="14"/>
        <v>ENT Rev Mo 150</v>
      </c>
      <c r="EX8" s="95" t="str">
        <f t="shared" si="14"/>
        <v>ENT Rev Mo 151</v>
      </c>
      <c r="EY8" s="95" t="str">
        <f t="shared" si="14"/>
        <v>ENT Rev Mo 152</v>
      </c>
      <c r="EZ8" s="95" t="str">
        <f t="shared" si="14"/>
        <v>ENT Rev Mo 153</v>
      </c>
      <c r="FA8" s="95" t="str">
        <f t="shared" si="14"/>
        <v>ENT Rev Mo 154</v>
      </c>
      <c r="FB8" s="95" t="str">
        <f t="shared" si="14"/>
        <v>ENT Rev Mo 155</v>
      </c>
      <c r="FC8" s="95" t="str">
        <f t="shared" si="14"/>
        <v>ENT Rev Mo 156</v>
      </c>
      <c r="FD8" s="95" t="str">
        <f t="shared" si="14"/>
        <v>ENT Rev Mo 157</v>
      </c>
      <c r="FE8" s="95" t="str">
        <f t="shared" si="14"/>
        <v>ENT Rev Mo 158</v>
      </c>
      <c r="FF8" s="95" t="str">
        <f t="shared" si="14"/>
        <v>ENT Rev Mo 159</v>
      </c>
      <c r="FG8" s="95" t="str">
        <f t="shared" si="14"/>
        <v>ENT Rev Mo 160</v>
      </c>
      <c r="FH8" s="95" t="str">
        <f t="shared" si="14"/>
        <v>ENT Rev Mo 161</v>
      </c>
      <c r="FI8" s="95" t="str">
        <f t="shared" si="14"/>
        <v>ENT Rev Mo 162</v>
      </c>
      <c r="FJ8" s="95" t="str">
        <f t="shared" si="14"/>
        <v>ENT Rev Mo 163</v>
      </c>
      <c r="FK8" s="95" t="str">
        <f t="shared" si="14"/>
        <v>ENT Rev Mo 164</v>
      </c>
      <c r="FL8" s="95" t="str">
        <f t="shared" si="14"/>
        <v>ENT Rev Mo 165</v>
      </c>
      <c r="FM8" s="95" t="str">
        <f t="shared" si="14"/>
        <v>ENT Rev Mo 166</v>
      </c>
      <c r="FN8" s="95" t="str">
        <f t="shared" si="14"/>
        <v>ENT Rev Mo 167</v>
      </c>
      <c r="FO8" s="95" t="str">
        <f t="shared" si="14"/>
        <v>ENT Rev Mo 168</v>
      </c>
      <c r="FP8" s="95" t="str">
        <f t="shared" si="14"/>
        <v>ENT Rev Mo 169</v>
      </c>
      <c r="FQ8" s="95" t="str">
        <f t="shared" si="14"/>
        <v>ENT Rev Mo 170</v>
      </c>
      <c r="FR8" s="95" t="str">
        <f t="shared" si="14"/>
        <v>ENT Rev Mo 171</v>
      </c>
      <c r="FS8" s="95" t="str">
        <f t="shared" si="14"/>
        <v>ENT Rev Mo 172</v>
      </c>
      <c r="FT8" s="95" t="str">
        <f t="shared" si="14"/>
        <v>ENT Rev Mo 173</v>
      </c>
      <c r="FU8" s="95" t="str">
        <f t="shared" si="14"/>
        <v>ENT Rev Mo 174</v>
      </c>
      <c r="FV8" s="95" t="str">
        <f t="shared" si="14"/>
        <v>ENT Rev Mo 175</v>
      </c>
      <c r="FW8" s="95" t="str">
        <f t="shared" si="14"/>
        <v>ENT Rev Mo 176</v>
      </c>
      <c r="FX8" s="95" t="str">
        <f t="shared" si="14"/>
        <v>ENT Rev Mo 177</v>
      </c>
      <c r="FY8" s="95" t="str">
        <f t="shared" si="14"/>
        <v>ENT Rev Mo 178</v>
      </c>
      <c r="FZ8" s="95" t="str">
        <f t="shared" si="14"/>
        <v>ENT Rev Mo 179</v>
      </c>
      <c r="GA8" s="95" t="str">
        <f t="shared" si="14"/>
        <v>ENT Rev Mo 180</v>
      </c>
      <c r="GB8" s="96"/>
    </row>
    <row r="9" spans="1:189" ht="16.5" customHeight="1">
      <c r="A9" s="1"/>
      <c r="B9" s="65"/>
      <c r="C9" s="98">
        <f t="shared" ref="C9:AH9" si="15">IFERROR(IF(C$4&lt;3,0,IF(C$4&lt;=36,ENTCalcQBs*C$24*ENTARPUCalc,B9*(1-ENTChurn))),0)</f>
        <v>0</v>
      </c>
      <c r="D9" s="99">
        <f t="shared" si="15"/>
        <v>0</v>
      </c>
      <c r="E9" s="99">
        <f t="shared" si="15"/>
        <v>0</v>
      </c>
      <c r="F9" s="99">
        <f t="shared" si="15"/>
        <v>0</v>
      </c>
      <c r="G9" s="99">
        <f t="shared" si="15"/>
        <v>0</v>
      </c>
      <c r="H9" s="99">
        <f t="shared" si="15"/>
        <v>0</v>
      </c>
      <c r="I9" s="99">
        <f t="shared" si="15"/>
        <v>0</v>
      </c>
      <c r="J9" s="99">
        <f t="shared" si="15"/>
        <v>0</v>
      </c>
      <c r="K9" s="99">
        <f t="shared" si="15"/>
        <v>0</v>
      </c>
      <c r="L9" s="99">
        <f t="shared" si="15"/>
        <v>0</v>
      </c>
      <c r="M9" s="99">
        <f t="shared" si="15"/>
        <v>0</v>
      </c>
      <c r="N9" s="99">
        <f t="shared" si="15"/>
        <v>0</v>
      </c>
      <c r="O9" s="99">
        <f t="shared" si="15"/>
        <v>0</v>
      </c>
      <c r="P9" s="99">
        <f t="shared" si="15"/>
        <v>0</v>
      </c>
      <c r="Q9" s="99">
        <f t="shared" si="15"/>
        <v>0</v>
      </c>
      <c r="R9" s="99">
        <f t="shared" si="15"/>
        <v>0</v>
      </c>
      <c r="S9" s="99">
        <f t="shared" si="15"/>
        <v>0</v>
      </c>
      <c r="T9" s="99">
        <f t="shared" si="15"/>
        <v>0</v>
      </c>
      <c r="U9" s="99">
        <f t="shared" si="15"/>
        <v>0</v>
      </c>
      <c r="V9" s="99">
        <f t="shared" si="15"/>
        <v>0</v>
      </c>
      <c r="W9" s="99">
        <f t="shared" si="15"/>
        <v>0</v>
      </c>
      <c r="X9" s="99">
        <f t="shared" si="15"/>
        <v>0</v>
      </c>
      <c r="Y9" s="99">
        <f t="shared" si="15"/>
        <v>0</v>
      </c>
      <c r="Z9" s="99">
        <f t="shared" si="15"/>
        <v>0</v>
      </c>
      <c r="AA9" s="99">
        <f t="shared" si="15"/>
        <v>0</v>
      </c>
      <c r="AB9" s="99">
        <f t="shared" si="15"/>
        <v>0</v>
      </c>
      <c r="AC9" s="99">
        <f t="shared" si="15"/>
        <v>0</v>
      </c>
      <c r="AD9" s="99">
        <f t="shared" si="15"/>
        <v>0</v>
      </c>
      <c r="AE9" s="99">
        <f t="shared" si="15"/>
        <v>0</v>
      </c>
      <c r="AF9" s="99">
        <f t="shared" si="15"/>
        <v>0</v>
      </c>
      <c r="AG9" s="99">
        <f t="shared" si="15"/>
        <v>0</v>
      </c>
      <c r="AH9" s="99">
        <f t="shared" si="15"/>
        <v>0</v>
      </c>
      <c r="AI9" s="99">
        <f t="shared" ref="AI9:BN9" si="16">IFERROR(IF(AI$4&lt;3,0,IF(AI$4&lt;=36,ENTCalcQBs*AI$24*ENTARPUCalc,AH9*(1-ENTChurn))),0)</f>
        <v>0</v>
      </c>
      <c r="AJ9" s="99">
        <f t="shared" si="16"/>
        <v>0</v>
      </c>
      <c r="AK9" s="99">
        <f t="shared" si="16"/>
        <v>0</v>
      </c>
      <c r="AL9" s="99">
        <f t="shared" si="16"/>
        <v>0</v>
      </c>
      <c r="AM9" s="99">
        <f t="shared" si="16"/>
        <v>0</v>
      </c>
      <c r="AN9" s="99">
        <f t="shared" si="16"/>
        <v>0</v>
      </c>
      <c r="AO9" s="99">
        <f t="shared" si="16"/>
        <v>0</v>
      </c>
      <c r="AP9" s="99">
        <f t="shared" si="16"/>
        <v>0</v>
      </c>
      <c r="AQ9" s="99">
        <f t="shared" si="16"/>
        <v>0</v>
      </c>
      <c r="AR9" s="99">
        <f t="shared" si="16"/>
        <v>0</v>
      </c>
      <c r="AS9" s="99">
        <f t="shared" si="16"/>
        <v>0</v>
      </c>
      <c r="AT9" s="99">
        <f t="shared" si="16"/>
        <v>0</v>
      </c>
      <c r="AU9" s="99">
        <f t="shared" si="16"/>
        <v>0</v>
      </c>
      <c r="AV9" s="99">
        <f t="shared" si="16"/>
        <v>0</v>
      </c>
      <c r="AW9" s="99">
        <f t="shared" si="16"/>
        <v>0</v>
      </c>
      <c r="AX9" s="99">
        <f t="shared" si="16"/>
        <v>0</v>
      </c>
      <c r="AY9" s="99">
        <f t="shared" si="16"/>
        <v>0</v>
      </c>
      <c r="AZ9" s="99">
        <f t="shared" si="16"/>
        <v>0</v>
      </c>
      <c r="BA9" s="99">
        <f t="shared" si="16"/>
        <v>0</v>
      </c>
      <c r="BB9" s="99">
        <f t="shared" si="16"/>
        <v>0</v>
      </c>
      <c r="BC9" s="99">
        <f t="shared" si="16"/>
        <v>0</v>
      </c>
      <c r="BD9" s="99">
        <f t="shared" si="16"/>
        <v>0</v>
      </c>
      <c r="BE9" s="99">
        <f t="shared" si="16"/>
        <v>0</v>
      </c>
      <c r="BF9" s="99">
        <f t="shared" si="16"/>
        <v>0</v>
      </c>
      <c r="BG9" s="99">
        <f t="shared" si="16"/>
        <v>0</v>
      </c>
      <c r="BH9" s="99">
        <f t="shared" si="16"/>
        <v>0</v>
      </c>
      <c r="BI9" s="99">
        <f t="shared" si="16"/>
        <v>0</v>
      </c>
      <c r="BJ9" s="99">
        <f t="shared" si="16"/>
        <v>0</v>
      </c>
      <c r="BK9" s="99">
        <f t="shared" si="16"/>
        <v>0</v>
      </c>
      <c r="BL9" s="99">
        <f t="shared" si="16"/>
        <v>0</v>
      </c>
      <c r="BM9" s="99">
        <f t="shared" si="16"/>
        <v>0</v>
      </c>
      <c r="BN9" s="99">
        <f t="shared" si="16"/>
        <v>0</v>
      </c>
      <c r="BO9" s="99">
        <f t="shared" ref="BO9:CT9" si="17">IFERROR(IF(BO$4&lt;3,0,IF(BO$4&lt;=36,ENTCalcQBs*BO$24*ENTARPUCalc,BN9*(1-ENTChurn))),0)</f>
        <v>0</v>
      </c>
      <c r="BP9" s="99">
        <f t="shared" si="17"/>
        <v>0</v>
      </c>
      <c r="BQ9" s="99">
        <f t="shared" si="17"/>
        <v>0</v>
      </c>
      <c r="BR9" s="99">
        <f t="shared" si="17"/>
        <v>0</v>
      </c>
      <c r="BS9" s="99">
        <f t="shared" si="17"/>
        <v>0</v>
      </c>
      <c r="BT9" s="99">
        <f t="shared" si="17"/>
        <v>0</v>
      </c>
      <c r="BU9" s="99">
        <f t="shared" si="17"/>
        <v>0</v>
      </c>
      <c r="BV9" s="99">
        <f t="shared" si="17"/>
        <v>0</v>
      </c>
      <c r="BW9" s="99">
        <f t="shared" si="17"/>
        <v>0</v>
      </c>
      <c r="BX9" s="99">
        <f t="shared" si="17"/>
        <v>0</v>
      </c>
      <c r="BY9" s="99">
        <f t="shared" si="17"/>
        <v>0</v>
      </c>
      <c r="BZ9" s="99">
        <f t="shared" si="17"/>
        <v>0</v>
      </c>
      <c r="CA9" s="99">
        <f t="shared" si="17"/>
        <v>0</v>
      </c>
      <c r="CB9" s="99">
        <f t="shared" si="17"/>
        <v>0</v>
      </c>
      <c r="CC9" s="99">
        <f t="shared" si="17"/>
        <v>0</v>
      </c>
      <c r="CD9" s="99">
        <f t="shared" si="17"/>
        <v>0</v>
      </c>
      <c r="CE9" s="99">
        <f t="shared" si="17"/>
        <v>0</v>
      </c>
      <c r="CF9" s="99">
        <f t="shared" si="17"/>
        <v>0</v>
      </c>
      <c r="CG9" s="99">
        <f t="shared" si="17"/>
        <v>0</v>
      </c>
      <c r="CH9" s="99">
        <f t="shared" si="17"/>
        <v>0</v>
      </c>
      <c r="CI9" s="99">
        <f t="shared" si="17"/>
        <v>0</v>
      </c>
      <c r="CJ9" s="99">
        <f t="shared" si="17"/>
        <v>0</v>
      </c>
      <c r="CK9" s="99">
        <f t="shared" si="17"/>
        <v>0</v>
      </c>
      <c r="CL9" s="99">
        <f t="shared" si="17"/>
        <v>0</v>
      </c>
      <c r="CM9" s="99">
        <f t="shared" si="17"/>
        <v>0</v>
      </c>
      <c r="CN9" s="99">
        <f t="shared" si="17"/>
        <v>0</v>
      </c>
      <c r="CO9" s="99">
        <f t="shared" si="17"/>
        <v>0</v>
      </c>
      <c r="CP9" s="99">
        <f t="shared" si="17"/>
        <v>0</v>
      </c>
      <c r="CQ9" s="99">
        <f t="shared" si="17"/>
        <v>0</v>
      </c>
      <c r="CR9" s="99">
        <f t="shared" si="17"/>
        <v>0</v>
      </c>
      <c r="CS9" s="99">
        <f t="shared" si="17"/>
        <v>0</v>
      </c>
      <c r="CT9" s="99">
        <f t="shared" si="17"/>
        <v>0</v>
      </c>
      <c r="CU9" s="99">
        <f t="shared" ref="CU9:DZ9" si="18">IFERROR(IF(CU$4&lt;3,0,IF(CU$4&lt;=36,ENTCalcQBs*CU$24*ENTARPUCalc,CT9*(1-ENTChurn))),0)</f>
        <v>0</v>
      </c>
      <c r="CV9" s="99">
        <f t="shared" si="18"/>
        <v>0</v>
      </c>
      <c r="CW9" s="99">
        <f t="shared" si="18"/>
        <v>0</v>
      </c>
      <c r="CX9" s="99">
        <f t="shared" si="18"/>
        <v>0</v>
      </c>
      <c r="CY9" s="99">
        <f t="shared" si="18"/>
        <v>0</v>
      </c>
      <c r="CZ9" s="99">
        <f t="shared" si="18"/>
        <v>0</v>
      </c>
      <c r="DA9" s="99">
        <f t="shared" si="18"/>
        <v>0</v>
      </c>
      <c r="DB9" s="99">
        <f t="shared" si="18"/>
        <v>0</v>
      </c>
      <c r="DC9" s="99">
        <f t="shared" si="18"/>
        <v>0</v>
      </c>
      <c r="DD9" s="99">
        <f t="shared" si="18"/>
        <v>0</v>
      </c>
      <c r="DE9" s="99">
        <f t="shared" si="18"/>
        <v>0</v>
      </c>
      <c r="DF9" s="99">
        <f t="shared" si="18"/>
        <v>0</v>
      </c>
      <c r="DG9" s="99">
        <f t="shared" si="18"/>
        <v>0</v>
      </c>
      <c r="DH9" s="99">
        <f t="shared" si="18"/>
        <v>0</v>
      </c>
      <c r="DI9" s="99">
        <f t="shared" si="18"/>
        <v>0</v>
      </c>
      <c r="DJ9" s="99">
        <f t="shared" si="18"/>
        <v>0</v>
      </c>
      <c r="DK9" s="99">
        <f t="shared" si="18"/>
        <v>0</v>
      </c>
      <c r="DL9" s="99">
        <f t="shared" si="18"/>
        <v>0</v>
      </c>
      <c r="DM9" s="99">
        <f t="shared" si="18"/>
        <v>0</v>
      </c>
      <c r="DN9" s="99">
        <f t="shared" si="18"/>
        <v>0</v>
      </c>
      <c r="DO9" s="99">
        <f t="shared" si="18"/>
        <v>0</v>
      </c>
      <c r="DP9" s="99">
        <f t="shared" si="18"/>
        <v>0</v>
      </c>
      <c r="DQ9" s="99">
        <f t="shared" si="18"/>
        <v>0</v>
      </c>
      <c r="DR9" s="99">
        <f t="shared" si="18"/>
        <v>0</v>
      </c>
      <c r="DS9" s="99">
        <f t="shared" si="18"/>
        <v>0</v>
      </c>
      <c r="DT9" s="99">
        <f t="shared" si="18"/>
        <v>0</v>
      </c>
      <c r="DU9" s="99">
        <f t="shared" si="18"/>
        <v>0</v>
      </c>
      <c r="DV9" s="99">
        <f t="shared" si="18"/>
        <v>0</v>
      </c>
      <c r="DW9" s="99">
        <f t="shared" si="18"/>
        <v>0</v>
      </c>
      <c r="DX9" s="99">
        <f t="shared" si="18"/>
        <v>0</v>
      </c>
      <c r="DY9" s="99">
        <f t="shared" si="18"/>
        <v>0</v>
      </c>
      <c r="DZ9" s="99">
        <f t="shared" si="18"/>
        <v>0</v>
      </c>
      <c r="EA9" s="99">
        <f t="shared" ref="EA9:FF9" si="19">IFERROR(IF(EA$4&lt;3,0,IF(EA$4&lt;=36,ENTCalcQBs*EA$24*ENTARPUCalc,DZ9*(1-ENTChurn))),0)</f>
        <v>0</v>
      </c>
      <c r="EB9" s="99">
        <f t="shared" si="19"/>
        <v>0</v>
      </c>
      <c r="EC9" s="99">
        <f t="shared" si="19"/>
        <v>0</v>
      </c>
      <c r="ED9" s="99">
        <f t="shared" si="19"/>
        <v>0</v>
      </c>
      <c r="EE9" s="99">
        <f t="shared" si="19"/>
        <v>0</v>
      </c>
      <c r="EF9" s="99">
        <f t="shared" si="19"/>
        <v>0</v>
      </c>
      <c r="EG9" s="99">
        <f t="shared" si="19"/>
        <v>0</v>
      </c>
      <c r="EH9" s="99">
        <f t="shared" si="19"/>
        <v>0</v>
      </c>
      <c r="EI9" s="99">
        <f t="shared" si="19"/>
        <v>0</v>
      </c>
      <c r="EJ9" s="99">
        <f t="shared" si="19"/>
        <v>0</v>
      </c>
      <c r="EK9" s="99">
        <f t="shared" si="19"/>
        <v>0</v>
      </c>
      <c r="EL9" s="99">
        <f t="shared" si="19"/>
        <v>0</v>
      </c>
      <c r="EM9" s="99">
        <f t="shared" si="19"/>
        <v>0</v>
      </c>
      <c r="EN9" s="99">
        <f t="shared" si="19"/>
        <v>0</v>
      </c>
      <c r="EO9" s="99">
        <f t="shared" si="19"/>
        <v>0</v>
      </c>
      <c r="EP9" s="99">
        <f t="shared" si="19"/>
        <v>0</v>
      </c>
      <c r="EQ9" s="99">
        <f t="shared" si="19"/>
        <v>0</v>
      </c>
      <c r="ER9" s="99">
        <f t="shared" si="19"/>
        <v>0</v>
      </c>
      <c r="ES9" s="99">
        <f t="shared" si="19"/>
        <v>0</v>
      </c>
      <c r="ET9" s="99">
        <f t="shared" si="19"/>
        <v>0</v>
      </c>
      <c r="EU9" s="99">
        <f t="shared" si="19"/>
        <v>0</v>
      </c>
      <c r="EV9" s="99">
        <f t="shared" si="19"/>
        <v>0</v>
      </c>
      <c r="EW9" s="99">
        <f t="shared" si="19"/>
        <v>0</v>
      </c>
      <c r="EX9" s="99">
        <f t="shared" si="19"/>
        <v>0</v>
      </c>
      <c r="EY9" s="99">
        <f t="shared" si="19"/>
        <v>0</v>
      </c>
      <c r="EZ9" s="99">
        <f t="shared" si="19"/>
        <v>0</v>
      </c>
      <c r="FA9" s="99">
        <f t="shared" si="19"/>
        <v>0</v>
      </c>
      <c r="FB9" s="99">
        <f t="shared" si="19"/>
        <v>0</v>
      </c>
      <c r="FC9" s="99">
        <f t="shared" si="19"/>
        <v>0</v>
      </c>
      <c r="FD9" s="99">
        <f t="shared" si="19"/>
        <v>0</v>
      </c>
      <c r="FE9" s="99">
        <f t="shared" si="19"/>
        <v>0</v>
      </c>
      <c r="FF9" s="99">
        <f t="shared" si="19"/>
        <v>0</v>
      </c>
      <c r="FG9" s="99">
        <f t="shared" ref="FG9:GA9" si="20">IFERROR(IF(FG$4&lt;3,0,IF(FG$4&lt;=36,ENTCalcQBs*FG$24*ENTARPUCalc,FF9*(1-ENTChurn))),0)</f>
        <v>0</v>
      </c>
      <c r="FH9" s="99">
        <f t="shared" si="20"/>
        <v>0</v>
      </c>
      <c r="FI9" s="99">
        <f t="shared" si="20"/>
        <v>0</v>
      </c>
      <c r="FJ9" s="99">
        <f t="shared" si="20"/>
        <v>0</v>
      </c>
      <c r="FK9" s="99">
        <f t="shared" si="20"/>
        <v>0</v>
      </c>
      <c r="FL9" s="99">
        <f t="shared" si="20"/>
        <v>0</v>
      </c>
      <c r="FM9" s="99">
        <f t="shared" si="20"/>
        <v>0</v>
      </c>
      <c r="FN9" s="99">
        <f t="shared" si="20"/>
        <v>0</v>
      </c>
      <c r="FO9" s="99">
        <f t="shared" si="20"/>
        <v>0</v>
      </c>
      <c r="FP9" s="99">
        <f t="shared" si="20"/>
        <v>0</v>
      </c>
      <c r="FQ9" s="99">
        <f t="shared" si="20"/>
        <v>0</v>
      </c>
      <c r="FR9" s="99">
        <f t="shared" si="20"/>
        <v>0</v>
      </c>
      <c r="FS9" s="99">
        <f t="shared" si="20"/>
        <v>0</v>
      </c>
      <c r="FT9" s="99">
        <f t="shared" si="20"/>
        <v>0</v>
      </c>
      <c r="FU9" s="99">
        <f t="shared" si="20"/>
        <v>0</v>
      </c>
      <c r="FV9" s="99">
        <f t="shared" si="20"/>
        <v>0</v>
      </c>
      <c r="FW9" s="99">
        <f t="shared" si="20"/>
        <v>0</v>
      </c>
      <c r="FX9" s="99">
        <f t="shared" si="20"/>
        <v>0</v>
      </c>
      <c r="FY9" s="99">
        <f t="shared" si="20"/>
        <v>0</v>
      </c>
      <c r="FZ9" s="99">
        <f t="shared" si="20"/>
        <v>0</v>
      </c>
      <c r="GA9" s="99">
        <f t="shared" si="20"/>
        <v>0</v>
      </c>
      <c r="GB9" s="100"/>
    </row>
    <row r="10" spans="1:189" ht="6.75" customHeight="1">
      <c r="A10" s="1"/>
      <c r="B10" s="65"/>
      <c r="C10" s="65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66"/>
    </row>
    <row r="11" spans="1:189" s="11" customFormat="1" ht="33">
      <c r="B11" s="93"/>
      <c r="C11" s="94" t="str">
        <f>"Cost Mo "&amp;C$4</f>
        <v>Cost Mo 0</v>
      </c>
      <c r="D11" s="95" t="str">
        <f t="shared" ref="D11:BO11" si="21">"Cost Mo "&amp;D$4</f>
        <v>Cost Mo 1</v>
      </c>
      <c r="E11" s="95" t="str">
        <f t="shared" si="21"/>
        <v>Cost Mo 2</v>
      </c>
      <c r="F11" s="95" t="str">
        <f t="shared" si="21"/>
        <v>Cost Mo 3</v>
      </c>
      <c r="G11" s="95" t="str">
        <f t="shared" si="21"/>
        <v>Cost Mo 4</v>
      </c>
      <c r="H11" s="95" t="str">
        <f t="shared" si="21"/>
        <v>Cost Mo 5</v>
      </c>
      <c r="I11" s="95" t="str">
        <f t="shared" si="21"/>
        <v>Cost Mo 6</v>
      </c>
      <c r="J11" s="95" t="str">
        <f t="shared" si="21"/>
        <v>Cost Mo 7</v>
      </c>
      <c r="K11" s="95" t="str">
        <f t="shared" si="21"/>
        <v>Cost Mo 8</v>
      </c>
      <c r="L11" s="95" t="str">
        <f t="shared" si="21"/>
        <v>Cost Mo 9</v>
      </c>
      <c r="M11" s="95" t="str">
        <f t="shared" si="21"/>
        <v>Cost Mo 10</v>
      </c>
      <c r="N11" s="95" t="str">
        <f t="shared" si="21"/>
        <v>Cost Mo 11</v>
      </c>
      <c r="O11" s="95" t="str">
        <f t="shared" si="21"/>
        <v>Cost Mo 12</v>
      </c>
      <c r="P11" s="95" t="str">
        <f t="shared" si="21"/>
        <v>Cost Mo 13</v>
      </c>
      <c r="Q11" s="95" t="str">
        <f t="shared" si="21"/>
        <v>Cost Mo 14</v>
      </c>
      <c r="R11" s="95" t="str">
        <f t="shared" si="21"/>
        <v>Cost Mo 15</v>
      </c>
      <c r="S11" s="95" t="str">
        <f t="shared" si="21"/>
        <v>Cost Mo 16</v>
      </c>
      <c r="T11" s="95" t="str">
        <f t="shared" si="21"/>
        <v>Cost Mo 17</v>
      </c>
      <c r="U11" s="95" t="str">
        <f t="shared" si="21"/>
        <v>Cost Mo 18</v>
      </c>
      <c r="V11" s="95" t="str">
        <f t="shared" si="21"/>
        <v>Cost Mo 19</v>
      </c>
      <c r="W11" s="95" t="str">
        <f t="shared" si="21"/>
        <v>Cost Mo 20</v>
      </c>
      <c r="X11" s="95" t="str">
        <f t="shared" si="21"/>
        <v>Cost Mo 21</v>
      </c>
      <c r="Y11" s="95" t="str">
        <f t="shared" si="21"/>
        <v>Cost Mo 22</v>
      </c>
      <c r="Z11" s="95" t="str">
        <f t="shared" si="21"/>
        <v>Cost Mo 23</v>
      </c>
      <c r="AA11" s="95" t="str">
        <f t="shared" si="21"/>
        <v>Cost Mo 24</v>
      </c>
      <c r="AB11" s="95" t="str">
        <f t="shared" si="21"/>
        <v>Cost Mo 25</v>
      </c>
      <c r="AC11" s="95" t="str">
        <f t="shared" si="21"/>
        <v>Cost Mo 26</v>
      </c>
      <c r="AD11" s="95" t="str">
        <f t="shared" si="21"/>
        <v>Cost Mo 27</v>
      </c>
      <c r="AE11" s="95" t="str">
        <f t="shared" si="21"/>
        <v>Cost Mo 28</v>
      </c>
      <c r="AF11" s="95" t="str">
        <f t="shared" si="21"/>
        <v>Cost Mo 29</v>
      </c>
      <c r="AG11" s="95" t="str">
        <f t="shared" si="21"/>
        <v>Cost Mo 30</v>
      </c>
      <c r="AH11" s="95" t="str">
        <f t="shared" si="21"/>
        <v>Cost Mo 31</v>
      </c>
      <c r="AI11" s="95" t="str">
        <f t="shared" si="21"/>
        <v>Cost Mo 32</v>
      </c>
      <c r="AJ11" s="95" t="str">
        <f t="shared" si="21"/>
        <v>Cost Mo 33</v>
      </c>
      <c r="AK11" s="95" t="str">
        <f t="shared" si="21"/>
        <v>Cost Mo 34</v>
      </c>
      <c r="AL11" s="95" t="str">
        <f t="shared" si="21"/>
        <v>Cost Mo 35</v>
      </c>
      <c r="AM11" s="95" t="str">
        <f t="shared" si="21"/>
        <v>Cost Mo 36</v>
      </c>
      <c r="AN11" s="95" t="str">
        <f t="shared" si="21"/>
        <v>Cost Mo 37</v>
      </c>
      <c r="AO11" s="95" t="str">
        <f t="shared" si="21"/>
        <v>Cost Mo 38</v>
      </c>
      <c r="AP11" s="95" t="str">
        <f t="shared" si="21"/>
        <v>Cost Mo 39</v>
      </c>
      <c r="AQ11" s="95" t="str">
        <f t="shared" si="21"/>
        <v>Cost Mo 40</v>
      </c>
      <c r="AR11" s="95" t="str">
        <f t="shared" si="21"/>
        <v>Cost Mo 41</v>
      </c>
      <c r="AS11" s="95" t="str">
        <f t="shared" si="21"/>
        <v>Cost Mo 42</v>
      </c>
      <c r="AT11" s="95" t="str">
        <f t="shared" si="21"/>
        <v>Cost Mo 43</v>
      </c>
      <c r="AU11" s="95" t="str">
        <f t="shared" si="21"/>
        <v>Cost Mo 44</v>
      </c>
      <c r="AV11" s="95" t="str">
        <f t="shared" si="21"/>
        <v>Cost Mo 45</v>
      </c>
      <c r="AW11" s="95" t="str">
        <f t="shared" si="21"/>
        <v>Cost Mo 46</v>
      </c>
      <c r="AX11" s="95" t="str">
        <f t="shared" si="21"/>
        <v>Cost Mo 47</v>
      </c>
      <c r="AY11" s="95" t="str">
        <f t="shared" si="21"/>
        <v>Cost Mo 48</v>
      </c>
      <c r="AZ11" s="95" t="str">
        <f t="shared" si="21"/>
        <v>Cost Mo 49</v>
      </c>
      <c r="BA11" s="95" t="str">
        <f t="shared" si="21"/>
        <v>Cost Mo 50</v>
      </c>
      <c r="BB11" s="95" t="str">
        <f t="shared" si="21"/>
        <v>Cost Mo 51</v>
      </c>
      <c r="BC11" s="95" t="str">
        <f t="shared" si="21"/>
        <v>Cost Mo 52</v>
      </c>
      <c r="BD11" s="95" t="str">
        <f t="shared" si="21"/>
        <v>Cost Mo 53</v>
      </c>
      <c r="BE11" s="95" t="str">
        <f t="shared" si="21"/>
        <v>Cost Mo 54</v>
      </c>
      <c r="BF11" s="95" t="str">
        <f t="shared" si="21"/>
        <v>Cost Mo 55</v>
      </c>
      <c r="BG11" s="95" t="str">
        <f t="shared" si="21"/>
        <v>Cost Mo 56</v>
      </c>
      <c r="BH11" s="95" t="str">
        <f t="shared" si="21"/>
        <v>Cost Mo 57</v>
      </c>
      <c r="BI11" s="95" t="str">
        <f t="shared" si="21"/>
        <v>Cost Mo 58</v>
      </c>
      <c r="BJ11" s="95" t="str">
        <f t="shared" si="21"/>
        <v>Cost Mo 59</v>
      </c>
      <c r="BK11" s="95" t="str">
        <f t="shared" si="21"/>
        <v>Cost Mo 60</v>
      </c>
      <c r="BL11" s="95" t="str">
        <f t="shared" si="21"/>
        <v>Cost Mo 61</v>
      </c>
      <c r="BM11" s="95" t="str">
        <f t="shared" si="21"/>
        <v>Cost Mo 62</v>
      </c>
      <c r="BN11" s="95" t="str">
        <f t="shared" si="21"/>
        <v>Cost Mo 63</v>
      </c>
      <c r="BO11" s="95" t="str">
        <f t="shared" si="21"/>
        <v>Cost Mo 64</v>
      </c>
      <c r="BP11" s="95" t="str">
        <f t="shared" ref="BP11:EA11" si="22">"Cost Mo "&amp;BP$4</f>
        <v>Cost Mo 65</v>
      </c>
      <c r="BQ11" s="95" t="str">
        <f t="shared" si="22"/>
        <v>Cost Mo 66</v>
      </c>
      <c r="BR11" s="95" t="str">
        <f t="shared" si="22"/>
        <v>Cost Mo 67</v>
      </c>
      <c r="BS11" s="95" t="str">
        <f t="shared" si="22"/>
        <v>Cost Mo 68</v>
      </c>
      <c r="BT11" s="95" t="str">
        <f t="shared" si="22"/>
        <v>Cost Mo 69</v>
      </c>
      <c r="BU11" s="95" t="str">
        <f t="shared" si="22"/>
        <v>Cost Mo 70</v>
      </c>
      <c r="BV11" s="95" t="str">
        <f t="shared" si="22"/>
        <v>Cost Mo 71</v>
      </c>
      <c r="BW11" s="95" t="str">
        <f t="shared" si="22"/>
        <v>Cost Mo 72</v>
      </c>
      <c r="BX11" s="95" t="str">
        <f t="shared" si="22"/>
        <v>Cost Mo 73</v>
      </c>
      <c r="BY11" s="95" t="str">
        <f t="shared" si="22"/>
        <v>Cost Mo 74</v>
      </c>
      <c r="BZ11" s="95" t="str">
        <f t="shared" si="22"/>
        <v>Cost Mo 75</v>
      </c>
      <c r="CA11" s="95" t="str">
        <f t="shared" si="22"/>
        <v>Cost Mo 76</v>
      </c>
      <c r="CB11" s="95" t="str">
        <f t="shared" si="22"/>
        <v>Cost Mo 77</v>
      </c>
      <c r="CC11" s="95" t="str">
        <f t="shared" si="22"/>
        <v>Cost Mo 78</v>
      </c>
      <c r="CD11" s="95" t="str">
        <f t="shared" si="22"/>
        <v>Cost Mo 79</v>
      </c>
      <c r="CE11" s="95" t="str">
        <f t="shared" si="22"/>
        <v>Cost Mo 80</v>
      </c>
      <c r="CF11" s="95" t="str">
        <f t="shared" si="22"/>
        <v>Cost Mo 81</v>
      </c>
      <c r="CG11" s="95" t="str">
        <f t="shared" si="22"/>
        <v>Cost Mo 82</v>
      </c>
      <c r="CH11" s="95" t="str">
        <f t="shared" si="22"/>
        <v>Cost Mo 83</v>
      </c>
      <c r="CI11" s="95" t="str">
        <f t="shared" si="22"/>
        <v>Cost Mo 84</v>
      </c>
      <c r="CJ11" s="95" t="str">
        <f t="shared" si="22"/>
        <v>Cost Mo 85</v>
      </c>
      <c r="CK11" s="95" t="str">
        <f t="shared" si="22"/>
        <v>Cost Mo 86</v>
      </c>
      <c r="CL11" s="95" t="str">
        <f t="shared" si="22"/>
        <v>Cost Mo 87</v>
      </c>
      <c r="CM11" s="95" t="str">
        <f t="shared" si="22"/>
        <v>Cost Mo 88</v>
      </c>
      <c r="CN11" s="95" t="str">
        <f t="shared" si="22"/>
        <v>Cost Mo 89</v>
      </c>
      <c r="CO11" s="95" t="str">
        <f t="shared" si="22"/>
        <v>Cost Mo 90</v>
      </c>
      <c r="CP11" s="95" t="str">
        <f t="shared" si="22"/>
        <v>Cost Mo 91</v>
      </c>
      <c r="CQ11" s="95" t="str">
        <f t="shared" si="22"/>
        <v>Cost Mo 92</v>
      </c>
      <c r="CR11" s="95" t="str">
        <f t="shared" si="22"/>
        <v>Cost Mo 93</v>
      </c>
      <c r="CS11" s="95" t="str">
        <f t="shared" si="22"/>
        <v>Cost Mo 94</v>
      </c>
      <c r="CT11" s="95" t="str">
        <f t="shared" si="22"/>
        <v>Cost Mo 95</v>
      </c>
      <c r="CU11" s="95" t="str">
        <f t="shared" si="22"/>
        <v>Cost Mo 96</v>
      </c>
      <c r="CV11" s="95" t="str">
        <f t="shared" si="22"/>
        <v>Cost Mo 97</v>
      </c>
      <c r="CW11" s="95" t="str">
        <f t="shared" si="22"/>
        <v>Cost Mo 98</v>
      </c>
      <c r="CX11" s="95" t="str">
        <f t="shared" si="22"/>
        <v>Cost Mo 99</v>
      </c>
      <c r="CY11" s="95" t="str">
        <f t="shared" si="22"/>
        <v>Cost Mo 100</v>
      </c>
      <c r="CZ11" s="95" t="str">
        <f t="shared" si="22"/>
        <v>Cost Mo 101</v>
      </c>
      <c r="DA11" s="95" t="str">
        <f t="shared" si="22"/>
        <v>Cost Mo 102</v>
      </c>
      <c r="DB11" s="95" t="str">
        <f t="shared" si="22"/>
        <v>Cost Mo 103</v>
      </c>
      <c r="DC11" s="95" t="str">
        <f t="shared" si="22"/>
        <v>Cost Mo 104</v>
      </c>
      <c r="DD11" s="95" t="str">
        <f t="shared" si="22"/>
        <v>Cost Mo 105</v>
      </c>
      <c r="DE11" s="95" t="str">
        <f t="shared" si="22"/>
        <v>Cost Mo 106</v>
      </c>
      <c r="DF11" s="95" t="str">
        <f t="shared" si="22"/>
        <v>Cost Mo 107</v>
      </c>
      <c r="DG11" s="95" t="str">
        <f t="shared" si="22"/>
        <v>Cost Mo 108</v>
      </c>
      <c r="DH11" s="95" t="str">
        <f t="shared" si="22"/>
        <v>Cost Mo 109</v>
      </c>
      <c r="DI11" s="95" t="str">
        <f t="shared" si="22"/>
        <v>Cost Mo 110</v>
      </c>
      <c r="DJ11" s="95" t="str">
        <f t="shared" si="22"/>
        <v>Cost Mo 111</v>
      </c>
      <c r="DK11" s="95" t="str">
        <f t="shared" si="22"/>
        <v>Cost Mo 112</v>
      </c>
      <c r="DL11" s="95" t="str">
        <f t="shared" si="22"/>
        <v>Cost Mo 113</v>
      </c>
      <c r="DM11" s="95" t="str">
        <f t="shared" si="22"/>
        <v>Cost Mo 114</v>
      </c>
      <c r="DN11" s="95" t="str">
        <f t="shared" si="22"/>
        <v>Cost Mo 115</v>
      </c>
      <c r="DO11" s="95" t="str">
        <f t="shared" si="22"/>
        <v>Cost Mo 116</v>
      </c>
      <c r="DP11" s="95" t="str">
        <f t="shared" si="22"/>
        <v>Cost Mo 117</v>
      </c>
      <c r="DQ11" s="95" t="str">
        <f t="shared" si="22"/>
        <v>Cost Mo 118</v>
      </c>
      <c r="DR11" s="95" t="str">
        <f t="shared" si="22"/>
        <v>Cost Mo 119</v>
      </c>
      <c r="DS11" s="95" t="str">
        <f t="shared" si="22"/>
        <v>Cost Mo 120</v>
      </c>
      <c r="DT11" s="95" t="str">
        <f t="shared" si="22"/>
        <v>Cost Mo 121</v>
      </c>
      <c r="DU11" s="95" t="str">
        <f t="shared" si="22"/>
        <v>Cost Mo 122</v>
      </c>
      <c r="DV11" s="95" t="str">
        <f t="shared" si="22"/>
        <v>Cost Mo 123</v>
      </c>
      <c r="DW11" s="95" t="str">
        <f t="shared" si="22"/>
        <v>Cost Mo 124</v>
      </c>
      <c r="DX11" s="95" t="str">
        <f t="shared" si="22"/>
        <v>Cost Mo 125</v>
      </c>
      <c r="DY11" s="95" t="str">
        <f t="shared" si="22"/>
        <v>Cost Mo 126</v>
      </c>
      <c r="DZ11" s="95" t="str">
        <f t="shared" si="22"/>
        <v>Cost Mo 127</v>
      </c>
      <c r="EA11" s="95" t="str">
        <f t="shared" si="22"/>
        <v>Cost Mo 128</v>
      </c>
      <c r="EB11" s="95" t="str">
        <f t="shared" ref="EB11:GA11" si="23">"Cost Mo "&amp;EB$4</f>
        <v>Cost Mo 129</v>
      </c>
      <c r="EC11" s="95" t="str">
        <f t="shared" si="23"/>
        <v>Cost Mo 130</v>
      </c>
      <c r="ED11" s="95" t="str">
        <f t="shared" si="23"/>
        <v>Cost Mo 131</v>
      </c>
      <c r="EE11" s="95" t="str">
        <f t="shared" si="23"/>
        <v>Cost Mo 132</v>
      </c>
      <c r="EF11" s="95" t="str">
        <f t="shared" si="23"/>
        <v>Cost Mo 133</v>
      </c>
      <c r="EG11" s="95" t="str">
        <f t="shared" si="23"/>
        <v>Cost Mo 134</v>
      </c>
      <c r="EH11" s="95" t="str">
        <f t="shared" si="23"/>
        <v>Cost Mo 135</v>
      </c>
      <c r="EI11" s="95" t="str">
        <f t="shared" si="23"/>
        <v>Cost Mo 136</v>
      </c>
      <c r="EJ11" s="95" t="str">
        <f t="shared" si="23"/>
        <v>Cost Mo 137</v>
      </c>
      <c r="EK11" s="95" t="str">
        <f t="shared" si="23"/>
        <v>Cost Mo 138</v>
      </c>
      <c r="EL11" s="95" t="str">
        <f t="shared" si="23"/>
        <v>Cost Mo 139</v>
      </c>
      <c r="EM11" s="95" t="str">
        <f t="shared" si="23"/>
        <v>Cost Mo 140</v>
      </c>
      <c r="EN11" s="95" t="str">
        <f t="shared" si="23"/>
        <v>Cost Mo 141</v>
      </c>
      <c r="EO11" s="95" t="str">
        <f t="shared" si="23"/>
        <v>Cost Mo 142</v>
      </c>
      <c r="EP11" s="95" t="str">
        <f t="shared" si="23"/>
        <v>Cost Mo 143</v>
      </c>
      <c r="EQ11" s="95" t="str">
        <f t="shared" si="23"/>
        <v>Cost Mo 144</v>
      </c>
      <c r="ER11" s="95" t="str">
        <f t="shared" si="23"/>
        <v>Cost Mo 145</v>
      </c>
      <c r="ES11" s="95" t="str">
        <f t="shared" si="23"/>
        <v>Cost Mo 146</v>
      </c>
      <c r="ET11" s="95" t="str">
        <f t="shared" si="23"/>
        <v>Cost Mo 147</v>
      </c>
      <c r="EU11" s="95" t="str">
        <f t="shared" si="23"/>
        <v>Cost Mo 148</v>
      </c>
      <c r="EV11" s="95" t="str">
        <f t="shared" si="23"/>
        <v>Cost Mo 149</v>
      </c>
      <c r="EW11" s="95" t="str">
        <f t="shared" si="23"/>
        <v>Cost Mo 150</v>
      </c>
      <c r="EX11" s="95" t="str">
        <f t="shared" si="23"/>
        <v>Cost Mo 151</v>
      </c>
      <c r="EY11" s="95" t="str">
        <f t="shared" si="23"/>
        <v>Cost Mo 152</v>
      </c>
      <c r="EZ11" s="95" t="str">
        <f t="shared" si="23"/>
        <v>Cost Mo 153</v>
      </c>
      <c r="FA11" s="95" t="str">
        <f t="shared" si="23"/>
        <v>Cost Mo 154</v>
      </c>
      <c r="FB11" s="95" t="str">
        <f t="shared" si="23"/>
        <v>Cost Mo 155</v>
      </c>
      <c r="FC11" s="95" t="str">
        <f t="shared" si="23"/>
        <v>Cost Mo 156</v>
      </c>
      <c r="FD11" s="95" t="str">
        <f t="shared" si="23"/>
        <v>Cost Mo 157</v>
      </c>
      <c r="FE11" s="95" t="str">
        <f t="shared" si="23"/>
        <v>Cost Mo 158</v>
      </c>
      <c r="FF11" s="95" t="str">
        <f t="shared" si="23"/>
        <v>Cost Mo 159</v>
      </c>
      <c r="FG11" s="95" t="str">
        <f t="shared" si="23"/>
        <v>Cost Mo 160</v>
      </c>
      <c r="FH11" s="95" t="str">
        <f t="shared" si="23"/>
        <v>Cost Mo 161</v>
      </c>
      <c r="FI11" s="95" t="str">
        <f t="shared" si="23"/>
        <v>Cost Mo 162</v>
      </c>
      <c r="FJ11" s="95" t="str">
        <f t="shared" si="23"/>
        <v>Cost Mo 163</v>
      </c>
      <c r="FK11" s="95" t="str">
        <f t="shared" si="23"/>
        <v>Cost Mo 164</v>
      </c>
      <c r="FL11" s="95" t="str">
        <f t="shared" si="23"/>
        <v>Cost Mo 165</v>
      </c>
      <c r="FM11" s="95" t="str">
        <f t="shared" si="23"/>
        <v>Cost Mo 166</v>
      </c>
      <c r="FN11" s="95" t="str">
        <f t="shared" si="23"/>
        <v>Cost Mo 167</v>
      </c>
      <c r="FO11" s="95" t="str">
        <f t="shared" si="23"/>
        <v>Cost Mo 168</v>
      </c>
      <c r="FP11" s="95" t="str">
        <f t="shared" si="23"/>
        <v>Cost Mo 169</v>
      </c>
      <c r="FQ11" s="95" t="str">
        <f t="shared" si="23"/>
        <v>Cost Mo 170</v>
      </c>
      <c r="FR11" s="95" t="str">
        <f t="shared" si="23"/>
        <v>Cost Mo 171</v>
      </c>
      <c r="FS11" s="95" t="str">
        <f t="shared" si="23"/>
        <v>Cost Mo 172</v>
      </c>
      <c r="FT11" s="95" t="str">
        <f t="shared" si="23"/>
        <v>Cost Mo 173</v>
      </c>
      <c r="FU11" s="95" t="str">
        <f t="shared" si="23"/>
        <v>Cost Mo 174</v>
      </c>
      <c r="FV11" s="95" t="str">
        <f t="shared" si="23"/>
        <v>Cost Mo 175</v>
      </c>
      <c r="FW11" s="95" t="str">
        <f t="shared" si="23"/>
        <v>Cost Mo 176</v>
      </c>
      <c r="FX11" s="95" t="str">
        <f t="shared" si="23"/>
        <v>Cost Mo 177</v>
      </c>
      <c r="FY11" s="95" t="str">
        <f t="shared" si="23"/>
        <v>Cost Mo 178</v>
      </c>
      <c r="FZ11" s="95" t="str">
        <f t="shared" si="23"/>
        <v>Cost Mo 179</v>
      </c>
      <c r="GA11" s="95" t="str">
        <f t="shared" si="23"/>
        <v>Cost Mo 180</v>
      </c>
      <c r="GB11" s="96"/>
    </row>
    <row r="12" spans="1:189" ht="16.5" customHeight="1">
      <c r="A12" s="1"/>
      <c r="B12" s="65"/>
      <c r="C12" s="98">
        <f t="shared" ref="C12:O12" si="24">IFERROR(IF(C$4=0,-1*EstROWCostCalc,IF(C$4&gt;2,SMB12moPenCalc/12*SMBCalcQBs*SMBCostCalc*-1,IF(C$4=2,SMB12moPenCalc*C$4/12*SMBCalcQBs*SMBCostCalc*-1))+SMBOpexLoad*C$6*-1+IF(C$4&gt;3,ENT12moPenCalc/12*ENTCalcQBs*ENTCostCalc*-1,IF(C$4=3,ENT12moPenCalc*C$4/12*ENTCalcQBs*ENTCostCalc*-1))+ENTOpexLoad*C$9*-1),0)</f>
        <v>0</v>
      </c>
      <c r="D12" s="99">
        <f t="shared" si="24"/>
        <v>0</v>
      </c>
      <c r="E12" s="99">
        <f t="shared" si="24"/>
        <v>0</v>
      </c>
      <c r="F12" s="99">
        <f t="shared" si="24"/>
        <v>0</v>
      </c>
      <c r="G12" s="99">
        <f t="shared" si="24"/>
        <v>0</v>
      </c>
      <c r="H12" s="99">
        <f t="shared" si="24"/>
        <v>0</v>
      </c>
      <c r="I12" s="99">
        <f t="shared" si="24"/>
        <v>0</v>
      </c>
      <c r="J12" s="99">
        <f t="shared" si="24"/>
        <v>0</v>
      </c>
      <c r="K12" s="99">
        <f t="shared" si="24"/>
        <v>0</v>
      </c>
      <c r="L12" s="99">
        <f t="shared" si="24"/>
        <v>0</v>
      </c>
      <c r="M12" s="99">
        <f t="shared" si="24"/>
        <v>0</v>
      </c>
      <c r="N12" s="99">
        <f t="shared" si="24"/>
        <v>0</v>
      </c>
      <c r="O12" s="99">
        <f t="shared" si="24"/>
        <v>0</v>
      </c>
      <c r="P12" s="99">
        <f t="shared" ref="P12:AM12" si="25">IFERROR(SUM((SMB36moPenCalc-SMB12moPenCalc)/24*SMBCalcQBs*SMBCostCalc+SMBOpexLoad*P$6,(ENT36moPenCalc-ENT12moPenCalc)/24*ENTCalcQBs*ENTCostCalc+ENTOpexLoad*P$9)*-1,0)</f>
        <v>0</v>
      </c>
      <c r="Q12" s="99">
        <f t="shared" si="25"/>
        <v>0</v>
      </c>
      <c r="R12" s="99">
        <f t="shared" si="25"/>
        <v>0</v>
      </c>
      <c r="S12" s="99">
        <f t="shared" si="25"/>
        <v>0</v>
      </c>
      <c r="T12" s="99">
        <f t="shared" si="25"/>
        <v>0</v>
      </c>
      <c r="U12" s="99">
        <f t="shared" si="25"/>
        <v>0</v>
      </c>
      <c r="V12" s="99">
        <f t="shared" si="25"/>
        <v>0</v>
      </c>
      <c r="W12" s="99">
        <f t="shared" si="25"/>
        <v>0</v>
      </c>
      <c r="X12" s="99">
        <f t="shared" si="25"/>
        <v>0</v>
      </c>
      <c r="Y12" s="99">
        <f t="shared" si="25"/>
        <v>0</v>
      </c>
      <c r="Z12" s="99">
        <f t="shared" si="25"/>
        <v>0</v>
      </c>
      <c r="AA12" s="99">
        <f t="shared" si="25"/>
        <v>0</v>
      </c>
      <c r="AB12" s="99">
        <f t="shared" si="25"/>
        <v>0</v>
      </c>
      <c r="AC12" s="99">
        <f t="shared" si="25"/>
        <v>0</v>
      </c>
      <c r="AD12" s="99">
        <f t="shared" si="25"/>
        <v>0</v>
      </c>
      <c r="AE12" s="99">
        <f t="shared" si="25"/>
        <v>0</v>
      </c>
      <c r="AF12" s="99">
        <f t="shared" si="25"/>
        <v>0</v>
      </c>
      <c r="AG12" s="99">
        <f t="shared" si="25"/>
        <v>0</v>
      </c>
      <c r="AH12" s="99">
        <f t="shared" si="25"/>
        <v>0</v>
      </c>
      <c r="AI12" s="99">
        <f t="shared" si="25"/>
        <v>0</v>
      </c>
      <c r="AJ12" s="99">
        <f t="shared" si="25"/>
        <v>0</v>
      </c>
      <c r="AK12" s="99">
        <f t="shared" si="25"/>
        <v>0</v>
      </c>
      <c r="AL12" s="99">
        <f t="shared" si="25"/>
        <v>0</v>
      </c>
      <c r="AM12" s="99">
        <f t="shared" si="25"/>
        <v>0</v>
      </c>
      <c r="AN12" s="99">
        <f t="shared" ref="AN12:CY12" si="26">IFERROR(SUM(SMBOpexLoad*AN$6,ENTOpexLoad*AN$9)*-1+(-1*AccessFeesMonthly),0)</f>
        <v>0</v>
      </c>
      <c r="AO12" s="99">
        <f t="shared" si="26"/>
        <v>0</v>
      </c>
      <c r="AP12" s="99">
        <f t="shared" si="26"/>
        <v>0</v>
      </c>
      <c r="AQ12" s="99">
        <f t="shared" si="26"/>
        <v>0</v>
      </c>
      <c r="AR12" s="99">
        <f t="shared" si="26"/>
        <v>0</v>
      </c>
      <c r="AS12" s="99">
        <f t="shared" si="26"/>
        <v>0</v>
      </c>
      <c r="AT12" s="99">
        <f t="shared" si="26"/>
        <v>0</v>
      </c>
      <c r="AU12" s="99">
        <f t="shared" si="26"/>
        <v>0</v>
      </c>
      <c r="AV12" s="99">
        <f t="shared" si="26"/>
        <v>0</v>
      </c>
      <c r="AW12" s="99">
        <f t="shared" si="26"/>
        <v>0</v>
      </c>
      <c r="AX12" s="99">
        <f t="shared" si="26"/>
        <v>0</v>
      </c>
      <c r="AY12" s="99">
        <f t="shared" si="26"/>
        <v>0</v>
      </c>
      <c r="AZ12" s="99">
        <f t="shared" si="26"/>
        <v>0</v>
      </c>
      <c r="BA12" s="99">
        <f t="shared" si="26"/>
        <v>0</v>
      </c>
      <c r="BB12" s="99">
        <f t="shared" si="26"/>
        <v>0</v>
      </c>
      <c r="BC12" s="99">
        <f t="shared" si="26"/>
        <v>0</v>
      </c>
      <c r="BD12" s="99">
        <f t="shared" si="26"/>
        <v>0</v>
      </c>
      <c r="BE12" s="99">
        <f t="shared" si="26"/>
        <v>0</v>
      </c>
      <c r="BF12" s="99">
        <f t="shared" si="26"/>
        <v>0</v>
      </c>
      <c r="BG12" s="99">
        <f t="shared" si="26"/>
        <v>0</v>
      </c>
      <c r="BH12" s="99">
        <f t="shared" si="26"/>
        <v>0</v>
      </c>
      <c r="BI12" s="99">
        <f t="shared" si="26"/>
        <v>0</v>
      </c>
      <c r="BJ12" s="99">
        <f t="shared" si="26"/>
        <v>0</v>
      </c>
      <c r="BK12" s="99">
        <f t="shared" si="26"/>
        <v>0</v>
      </c>
      <c r="BL12" s="99">
        <f t="shared" si="26"/>
        <v>0</v>
      </c>
      <c r="BM12" s="99">
        <f t="shared" si="26"/>
        <v>0</v>
      </c>
      <c r="BN12" s="99">
        <f t="shared" si="26"/>
        <v>0</v>
      </c>
      <c r="BO12" s="99">
        <f t="shared" si="26"/>
        <v>0</v>
      </c>
      <c r="BP12" s="99">
        <f t="shared" si="26"/>
        <v>0</v>
      </c>
      <c r="BQ12" s="99">
        <f t="shared" si="26"/>
        <v>0</v>
      </c>
      <c r="BR12" s="99">
        <f t="shared" si="26"/>
        <v>0</v>
      </c>
      <c r="BS12" s="99">
        <f t="shared" si="26"/>
        <v>0</v>
      </c>
      <c r="BT12" s="99">
        <f t="shared" si="26"/>
        <v>0</v>
      </c>
      <c r="BU12" s="99">
        <f t="shared" si="26"/>
        <v>0</v>
      </c>
      <c r="BV12" s="99">
        <f t="shared" si="26"/>
        <v>0</v>
      </c>
      <c r="BW12" s="99">
        <f t="shared" si="26"/>
        <v>0</v>
      </c>
      <c r="BX12" s="99">
        <f t="shared" si="26"/>
        <v>0</v>
      </c>
      <c r="BY12" s="99">
        <f t="shared" si="26"/>
        <v>0</v>
      </c>
      <c r="BZ12" s="99">
        <f t="shared" si="26"/>
        <v>0</v>
      </c>
      <c r="CA12" s="99">
        <f t="shared" si="26"/>
        <v>0</v>
      </c>
      <c r="CB12" s="99">
        <f t="shared" si="26"/>
        <v>0</v>
      </c>
      <c r="CC12" s="99">
        <f t="shared" si="26"/>
        <v>0</v>
      </c>
      <c r="CD12" s="99">
        <f t="shared" si="26"/>
        <v>0</v>
      </c>
      <c r="CE12" s="99">
        <f t="shared" si="26"/>
        <v>0</v>
      </c>
      <c r="CF12" s="99">
        <f t="shared" si="26"/>
        <v>0</v>
      </c>
      <c r="CG12" s="99">
        <f t="shared" si="26"/>
        <v>0</v>
      </c>
      <c r="CH12" s="99">
        <f t="shared" si="26"/>
        <v>0</v>
      </c>
      <c r="CI12" s="99">
        <f t="shared" si="26"/>
        <v>0</v>
      </c>
      <c r="CJ12" s="99">
        <f t="shared" si="26"/>
        <v>0</v>
      </c>
      <c r="CK12" s="99">
        <f t="shared" si="26"/>
        <v>0</v>
      </c>
      <c r="CL12" s="99">
        <f t="shared" si="26"/>
        <v>0</v>
      </c>
      <c r="CM12" s="99">
        <f t="shared" si="26"/>
        <v>0</v>
      </c>
      <c r="CN12" s="99">
        <f t="shared" si="26"/>
        <v>0</v>
      </c>
      <c r="CO12" s="99">
        <f t="shared" si="26"/>
        <v>0</v>
      </c>
      <c r="CP12" s="99">
        <f t="shared" si="26"/>
        <v>0</v>
      </c>
      <c r="CQ12" s="99">
        <f t="shared" si="26"/>
        <v>0</v>
      </c>
      <c r="CR12" s="99">
        <f t="shared" si="26"/>
        <v>0</v>
      </c>
      <c r="CS12" s="99">
        <f t="shared" si="26"/>
        <v>0</v>
      </c>
      <c r="CT12" s="99">
        <f t="shared" si="26"/>
        <v>0</v>
      </c>
      <c r="CU12" s="99">
        <f t="shared" si="26"/>
        <v>0</v>
      </c>
      <c r="CV12" s="99">
        <f t="shared" si="26"/>
        <v>0</v>
      </c>
      <c r="CW12" s="99">
        <f t="shared" si="26"/>
        <v>0</v>
      </c>
      <c r="CX12" s="99">
        <f t="shared" si="26"/>
        <v>0</v>
      </c>
      <c r="CY12" s="99">
        <f t="shared" si="26"/>
        <v>0</v>
      </c>
      <c r="CZ12" s="99">
        <f t="shared" ref="CZ12:FK12" si="27">IFERROR(SUM(SMBOpexLoad*CZ$6,ENTOpexLoad*CZ$9)*-1+(-1*AccessFeesMonthly),0)</f>
        <v>0</v>
      </c>
      <c r="DA12" s="99">
        <f t="shared" si="27"/>
        <v>0</v>
      </c>
      <c r="DB12" s="99">
        <f t="shared" si="27"/>
        <v>0</v>
      </c>
      <c r="DC12" s="99">
        <f t="shared" si="27"/>
        <v>0</v>
      </c>
      <c r="DD12" s="99">
        <f t="shared" si="27"/>
        <v>0</v>
      </c>
      <c r="DE12" s="99">
        <f t="shared" si="27"/>
        <v>0</v>
      </c>
      <c r="DF12" s="99">
        <f t="shared" si="27"/>
        <v>0</v>
      </c>
      <c r="DG12" s="99">
        <f t="shared" si="27"/>
        <v>0</v>
      </c>
      <c r="DH12" s="99">
        <f t="shared" si="27"/>
        <v>0</v>
      </c>
      <c r="DI12" s="99">
        <f t="shared" si="27"/>
        <v>0</v>
      </c>
      <c r="DJ12" s="99">
        <f t="shared" si="27"/>
        <v>0</v>
      </c>
      <c r="DK12" s="99">
        <f t="shared" si="27"/>
        <v>0</v>
      </c>
      <c r="DL12" s="99">
        <f t="shared" si="27"/>
        <v>0</v>
      </c>
      <c r="DM12" s="99">
        <f t="shared" si="27"/>
        <v>0</v>
      </c>
      <c r="DN12" s="99">
        <f t="shared" si="27"/>
        <v>0</v>
      </c>
      <c r="DO12" s="99">
        <f t="shared" si="27"/>
        <v>0</v>
      </c>
      <c r="DP12" s="99">
        <f t="shared" si="27"/>
        <v>0</v>
      </c>
      <c r="DQ12" s="99">
        <f t="shared" si="27"/>
        <v>0</v>
      </c>
      <c r="DR12" s="99">
        <f t="shared" si="27"/>
        <v>0</v>
      </c>
      <c r="DS12" s="99">
        <f t="shared" si="27"/>
        <v>0</v>
      </c>
      <c r="DT12" s="99">
        <f t="shared" si="27"/>
        <v>0</v>
      </c>
      <c r="DU12" s="99">
        <f t="shared" si="27"/>
        <v>0</v>
      </c>
      <c r="DV12" s="99">
        <f t="shared" si="27"/>
        <v>0</v>
      </c>
      <c r="DW12" s="99">
        <f t="shared" si="27"/>
        <v>0</v>
      </c>
      <c r="DX12" s="99">
        <f t="shared" si="27"/>
        <v>0</v>
      </c>
      <c r="DY12" s="99">
        <f t="shared" si="27"/>
        <v>0</v>
      </c>
      <c r="DZ12" s="99">
        <f t="shared" si="27"/>
        <v>0</v>
      </c>
      <c r="EA12" s="99">
        <f t="shared" si="27"/>
        <v>0</v>
      </c>
      <c r="EB12" s="99">
        <f t="shared" si="27"/>
        <v>0</v>
      </c>
      <c r="EC12" s="99">
        <f t="shared" si="27"/>
        <v>0</v>
      </c>
      <c r="ED12" s="99">
        <f t="shared" si="27"/>
        <v>0</v>
      </c>
      <c r="EE12" s="99">
        <f t="shared" si="27"/>
        <v>0</v>
      </c>
      <c r="EF12" s="99">
        <f t="shared" si="27"/>
        <v>0</v>
      </c>
      <c r="EG12" s="99">
        <f t="shared" si="27"/>
        <v>0</v>
      </c>
      <c r="EH12" s="99">
        <f t="shared" si="27"/>
        <v>0</v>
      </c>
      <c r="EI12" s="99">
        <f t="shared" si="27"/>
        <v>0</v>
      </c>
      <c r="EJ12" s="99">
        <f t="shared" si="27"/>
        <v>0</v>
      </c>
      <c r="EK12" s="99">
        <f t="shared" si="27"/>
        <v>0</v>
      </c>
      <c r="EL12" s="99">
        <f t="shared" si="27"/>
        <v>0</v>
      </c>
      <c r="EM12" s="99">
        <f t="shared" si="27"/>
        <v>0</v>
      </c>
      <c r="EN12" s="99">
        <f t="shared" si="27"/>
        <v>0</v>
      </c>
      <c r="EO12" s="99">
        <f t="shared" si="27"/>
        <v>0</v>
      </c>
      <c r="EP12" s="99">
        <f t="shared" si="27"/>
        <v>0</v>
      </c>
      <c r="EQ12" s="99">
        <f t="shared" si="27"/>
        <v>0</v>
      </c>
      <c r="ER12" s="99">
        <f t="shared" si="27"/>
        <v>0</v>
      </c>
      <c r="ES12" s="99">
        <f t="shared" si="27"/>
        <v>0</v>
      </c>
      <c r="ET12" s="99">
        <f t="shared" si="27"/>
        <v>0</v>
      </c>
      <c r="EU12" s="99">
        <f t="shared" si="27"/>
        <v>0</v>
      </c>
      <c r="EV12" s="99">
        <f t="shared" si="27"/>
        <v>0</v>
      </c>
      <c r="EW12" s="99">
        <f t="shared" si="27"/>
        <v>0</v>
      </c>
      <c r="EX12" s="99">
        <f t="shared" si="27"/>
        <v>0</v>
      </c>
      <c r="EY12" s="99">
        <f t="shared" si="27"/>
        <v>0</v>
      </c>
      <c r="EZ12" s="99">
        <f t="shared" si="27"/>
        <v>0</v>
      </c>
      <c r="FA12" s="99">
        <f t="shared" si="27"/>
        <v>0</v>
      </c>
      <c r="FB12" s="99">
        <f t="shared" si="27"/>
        <v>0</v>
      </c>
      <c r="FC12" s="99">
        <f t="shared" si="27"/>
        <v>0</v>
      </c>
      <c r="FD12" s="99">
        <f t="shared" si="27"/>
        <v>0</v>
      </c>
      <c r="FE12" s="99">
        <f t="shared" si="27"/>
        <v>0</v>
      </c>
      <c r="FF12" s="99">
        <f t="shared" si="27"/>
        <v>0</v>
      </c>
      <c r="FG12" s="99">
        <f t="shared" si="27"/>
        <v>0</v>
      </c>
      <c r="FH12" s="99">
        <f t="shared" si="27"/>
        <v>0</v>
      </c>
      <c r="FI12" s="99">
        <f t="shared" si="27"/>
        <v>0</v>
      </c>
      <c r="FJ12" s="99">
        <f t="shared" si="27"/>
        <v>0</v>
      </c>
      <c r="FK12" s="99">
        <f t="shared" si="27"/>
        <v>0</v>
      </c>
      <c r="FL12" s="99">
        <f t="shared" ref="FL12:GA12" si="28">IFERROR(SUM(SMBOpexLoad*FL$6,ENTOpexLoad*FL$9)*-1+(-1*AccessFeesMonthly),0)</f>
        <v>0</v>
      </c>
      <c r="FM12" s="99">
        <f t="shared" si="28"/>
        <v>0</v>
      </c>
      <c r="FN12" s="99">
        <f t="shared" si="28"/>
        <v>0</v>
      </c>
      <c r="FO12" s="99">
        <f t="shared" si="28"/>
        <v>0</v>
      </c>
      <c r="FP12" s="99">
        <f t="shared" si="28"/>
        <v>0</v>
      </c>
      <c r="FQ12" s="99">
        <f t="shared" si="28"/>
        <v>0</v>
      </c>
      <c r="FR12" s="99">
        <f t="shared" si="28"/>
        <v>0</v>
      </c>
      <c r="FS12" s="99">
        <f t="shared" si="28"/>
        <v>0</v>
      </c>
      <c r="FT12" s="99">
        <f t="shared" si="28"/>
        <v>0</v>
      </c>
      <c r="FU12" s="99">
        <f t="shared" si="28"/>
        <v>0</v>
      </c>
      <c r="FV12" s="99">
        <f t="shared" si="28"/>
        <v>0</v>
      </c>
      <c r="FW12" s="99">
        <f t="shared" si="28"/>
        <v>0</v>
      </c>
      <c r="FX12" s="99">
        <f t="shared" si="28"/>
        <v>0</v>
      </c>
      <c r="FY12" s="99">
        <f t="shared" si="28"/>
        <v>0</v>
      </c>
      <c r="FZ12" s="99">
        <f t="shared" si="28"/>
        <v>0</v>
      </c>
      <c r="GA12" s="99">
        <f t="shared" si="28"/>
        <v>0</v>
      </c>
      <c r="GB12" s="100"/>
    </row>
    <row r="13" spans="1:189" ht="6.75" customHeight="1">
      <c r="A13" s="1"/>
      <c r="B13" s="65"/>
      <c r="C13" s="6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66"/>
    </row>
    <row r="14" spans="1:189" s="11" customFormat="1" ht="33">
      <c r="B14" s="93"/>
      <c r="C14" s="94" t="str">
        <f>"Cash Flow "&amp;C$4</f>
        <v>Cash Flow 0</v>
      </c>
      <c r="D14" s="95" t="str">
        <f t="shared" ref="D14:BO14" si="29">"Cash Flow "&amp;D$4</f>
        <v>Cash Flow 1</v>
      </c>
      <c r="E14" s="95" t="str">
        <f t="shared" si="29"/>
        <v>Cash Flow 2</v>
      </c>
      <c r="F14" s="95" t="str">
        <f t="shared" si="29"/>
        <v>Cash Flow 3</v>
      </c>
      <c r="G14" s="95" t="str">
        <f t="shared" si="29"/>
        <v>Cash Flow 4</v>
      </c>
      <c r="H14" s="95" t="str">
        <f t="shared" si="29"/>
        <v>Cash Flow 5</v>
      </c>
      <c r="I14" s="95" t="str">
        <f t="shared" si="29"/>
        <v>Cash Flow 6</v>
      </c>
      <c r="J14" s="95" t="str">
        <f t="shared" si="29"/>
        <v>Cash Flow 7</v>
      </c>
      <c r="K14" s="95" t="str">
        <f t="shared" si="29"/>
        <v>Cash Flow 8</v>
      </c>
      <c r="L14" s="95" t="str">
        <f t="shared" si="29"/>
        <v>Cash Flow 9</v>
      </c>
      <c r="M14" s="95" t="str">
        <f t="shared" si="29"/>
        <v>Cash Flow 10</v>
      </c>
      <c r="N14" s="95" t="str">
        <f t="shared" si="29"/>
        <v>Cash Flow 11</v>
      </c>
      <c r="O14" s="95" t="str">
        <f t="shared" si="29"/>
        <v>Cash Flow 12</v>
      </c>
      <c r="P14" s="95" t="str">
        <f t="shared" si="29"/>
        <v>Cash Flow 13</v>
      </c>
      <c r="Q14" s="95" t="str">
        <f t="shared" si="29"/>
        <v>Cash Flow 14</v>
      </c>
      <c r="R14" s="95" t="str">
        <f t="shared" si="29"/>
        <v>Cash Flow 15</v>
      </c>
      <c r="S14" s="95" t="str">
        <f t="shared" si="29"/>
        <v>Cash Flow 16</v>
      </c>
      <c r="T14" s="95" t="str">
        <f t="shared" si="29"/>
        <v>Cash Flow 17</v>
      </c>
      <c r="U14" s="95" t="str">
        <f t="shared" si="29"/>
        <v>Cash Flow 18</v>
      </c>
      <c r="V14" s="95" t="str">
        <f t="shared" si="29"/>
        <v>Cash Flow 19</v>
      </c>
      <c r="W14" s="95" t="str">
        <f t="shared" si="29"/>
        <v>Cash Flow 20</v>
      </c>
      <c r="X14" s="95" t="str">
        <f t="shared" si="29"/>
        <v>Cash Flow 21</v>
      </c>
      <c r="Y14" s="95" t="str">
        <f t="shared" si="29"/>
        <v>Cash Flow 22</v>
      </c>
      <c r="Z14" s="95" t="str">
        <f t="shared" si="29"/>
        <v>Cash Flow 23</v>
      </c>
      <c r="AA14" s="95" t="str">
        <f t="shared" si="29"/>
        <v>Cash Flow 24</v>
      </c>
      <c r="AB14" s="95" t="str">
        <f t="shared" si="29"/>
        <v>Cash Flow 25</v>
      </c>
      <c r="AC14" s="95" t="str">
        <f t="shared" si="29"/>
        <v>Cash Flow 26</v>
      </c>
      <c r="AD14" s="95" t="str">
        <f t="shared" si="29"/>
        <v>Cash Flow 27</v>
      </c>
      <c r="AE14" s="95" t="str">
        <f t="shared" si="29"/>
        <v>Cash Flow 28</v>
      </c>
      <c r="AF14" s="95" t="str">
        <f t="shared" si="29"/>
        <v>Cash Flow 29</v>
      </c>
      <c r="AG14" s="95" t="str">
        <f t="shared" si="29"/>
        <v>Cash Flow 30</v>
      </c>
      <c r="AH14" s="95" t="str">
        <f t="shared" si="29"/>
        <v>Cash Flow 31</v>
      </c>
      <c r="AI14" s="95" t="str">
        <f t="shared" si="29"/>
        <v>Cash Flow 32</v>
      </c>
      <c r="AJ14" s="95" t="str">
        <f t="shared" si="29"/>
        <v>Cash Flow 33</v>
      </c>
      <c r="AK14" s="95" t="str">
        <f t="shared" si="29"/>
        <v>Cash Flow 34</v>
      </c>
      <c r="AL14" s="95" t="str">
        <f t="shared" si="29"/>
        <v>Cash Flow 35</v>
      </c>
      <c r="AM14" s="95" t="str">
        <f t="shared" si="29"/>
        <v>Cash Flow 36</v>
      </c>
      <c r="AN14" s="95" t="str">
        <f t="shared" si="29"/>
        <v>Cash Flow 37</v>
      </c>
      <c r="AO14" s="95" t="str">
        <f t="shared" si="29"/>
        <v>Cash Flow 38</v>
      </c>
      <c r="AP14" s="95" t="str">
        <f t="shared" si="29"/>
        <v>Cash Flow 39</v>
      </c>
      <c r="AQ14" s="95" t="str">
        <f t="shared" si="29"/>
        <v>Cash Flow 40</v>
      </c>
      <c r="AR14" s="95" t="str">
        <f t="shared" si="29"/>
        <v>Cash Flow 41</v>
      </c>
      <c r="AS14" s="95" t="str">
        <f t="shared" si="29"/>
        <v>Cash Flow 42</v>
      </c>
      <c r="AT14" s="95" t="str">
        <f t="shared" si="29"/>
        <v>Cash Flow 43</v>
      </c>
      <c r="AU14" s="95" t="str">
        <f t="shared" si="29"/>
        <v>Cash Flow 44</v>
      </c>
      <c r="AV14" s="95" t="str">
        <f t="shared" si="29"/>
        <v>Cash Flow 45</v>
      </c>
      <c r="AW14" s="95" t="str">
        <f t="shared" si="29"/>
        <v>Cash Flow 46</v>
      </c>
      <c r="AX14" s="95" t="str">
        <f t="shared" si="29"/>
        <v>Cash Flow 47</v>
      </c>
      <c r="AY14" s="95" t="str">
        <f t="shared" si="29"/>
        <v>Cash Flow 48</v>
      </c>
      <c r="AZ14" s="95" t="str">
        <f t="shared" si="29"/>
        <v>Cash Flow 49</v>
      </c>
      <c r="BA14" s="95" t="str">
        <f t="shared" si="29"/>
        <v>Cash Flow 50</v>
      </c>
      <c r="BB14" s="95" t="str">
        <f t="shared" si="29"/>
        <v>Cash Flow 51</v>
      </c>
      <c r="BC14" s="95" t="str">
        <f t="shared" si="29"/>
        <v>Cash Flow 52</v>
      </c>
      <c r="BD14" s="95" t="str">
        <f t="shared" si="29"/>
        <v>Cash Flow 53</v>
      </c>
      <c r="BE14" s="95" t="str">
        <f t="shared" si="29"/>
        <v>Cash Flow 54</v>
      </c>
      <c r="BF14" s="95" t="str">
        <f t="shared" si="29"/>
        <v>Cash Flow 55</v>
      </c>
      <c r="BG14" s="95" t="str">
        <f t="shared" si="29"/>
        <v>Cash Flow 56</v>
      </c>
      <c r="BH14" s="95" t="str">
        <f t="shared" si="29"/>
        <v>Cash Flow 57</v>
      </c>
      <c r="BI14" s="95" t="str">
        <f t="shared" si="29"/>
        <v>Cash Flow 58</v>
      </c>
      <c r="BJ14" s="95" t="str">
        <f t="shared" si="29"/>
        <v>Cash Flow 59</v>
      </c>
      <c r="BK14" s="95" t="str">
        <f t="shared" si="29"/>
        <v>Cash Flow 60</v>
      </c>
      <c r="BL14" s="95" t="str">
        <f t="shared" si="29"/>
        <v>Cash Flow 61</v>
      </c>
      <c r="BM14" s="95" t="str">
        <f t="shared" si="29"/>
        <v>Cash Flow 62</v>
      </c>
      <c r="BN14" s="95" t="str">
        <f t="shared" si="29"/>
        <v>Cash Flow 63</v>
      </c>
      <c r="BO14" s="95" t="str">
        <f t="shared" si="29"/>
        <v>Cash Flow 64</v>
      </c>
      <c r="BP14" s="95" t="str">
        <f t="shared" ref="BP14:EA14" si="30">"Cash Flow "&amp;BP$4</f>
        <v>Cash Flow 65</v>
      </c>
      <c r="BQ14" s="95" t="str">
        <f t="shared" si="30"/>
        <v>Cash Flow 66</v>
      </c>
      <c r="BR14" s="95" t="str">
        <f t="shared" si="30"/>
        <v>Cash Flow 67</v>
      </c>
      <c r="BS14" s="95" t="str">
        <f t="shared" si="30"/>
        <v>Cash Flow 68</v>
      </c>
      <c r="BT14" s="95" t="str">
        <f t="shared" si="30"/>
        <v>Cash Flow 69</v>
      </c>
      <c r="BU14" s="95" t="str">
        <f t="shared" si="30"/>
        <v>Cash Flow 70</v>
      </c>
      <c r="BV14" s="95" t="str">
        <f t="shared" si="30"/>
        <v>Cash Flow 71</v>
      </c>
      <c r="BW14" s="95" t="str">
        <f t="shared" si="30"/>
        <v>Cash Flow 72</v>
      </c>
      <c r="BX14" s="95" t="str">
        <f t="shared" si="30"/>
        <v>Cash Flow 73</v>
      </c>
      <c r="BY14" s="95" t="str">
        <f t="shared" si="30"/>
        <v>Cash Flow 74</v>
      </c>
      <c r="BZ14" s="95" t="str">
        <f t="shared" si="30"/>
        <v>Cash Flow 75</v>
      </c>
      <c r="CA14" s="95" t="str">
        <f t="shared" si="30"/>
        <v>Cash Flow 76</v>
      </c>
      <c r="CB14" s="95" t="str">
        <f t="shared" si="30"/>
        <v>Cash Flow 77</v>
      </c>
      <c r="CC14" s="95" t="str">
        <f t="shared" si="30"/>
        <v>Cash Flow 78</v>
      </c>
      <c r="CD14" s="95" t="str">
        <f t="shared" si="30"/>
        <v>Cash Flow 79</v>
      </c>
      <c r="CE14" s="95" t="str">
        <f t="shared" si="30"/>
        <v>Cash Flow 80</v>
      </c>
      <c r="CF14" s="95" t="str">
        <f t="shared" si="30"/>
        <v>Cash Flow 81</v>
      </c>
      <c r="CG14" s="95" t="str">
        <f t="shared" si="30"/>
        <v>Cash Flow 82</v>
      </c>
      <c r="CH14" s="95" t="str">
        <f t="shared" si="30"/>
        <v>Cash Flow 83</v>
      </c>
      <c r="CI14" s="95" t="str">
        <f t="shared" si="30"/>
        <v>Cash Flow 84</v>
      </c>
      <c r="CJ14" s="95" t="str">
        <f t="shared" si="30"/>
        <v>Cash Flow 85</v>
      </c>
      <c r="CK14" s="95" t="str">
        <f t="shared" si="30"/>
        <v>Cash Flow 86</v>
      </c>
      <c r="CL14" s="95" t="str">
        <f t="shared" si="30"/>
        <v>Cash Flow 87</v>
      </c>
      <c r="CM14" s="95" t="str">
        <f t="shared" si="30"/>
        <v>Cash Flow 88</v>
      </c>
      <c r="CN14" s="95" t="str">
        <f t="shared" si="30"/>
        <v>Cash Flow 89</v>
      </c>
      <c r="CO14" s="95" t="str">
        <f t="shared" si="30"/>
        <v>Cash Flow 90</v>
      </c>
      <c r="CP14" s="95" t="str">
        <f t="shared" si="30"/>
        <v>Cash Flow 91</v>
      </c>
      <c r="CQ14" s="95" t="str">
        <f t="shared" si="30"/>
        <v>Cash Flow 92</v>
      </c>
      <c r="CR14" s="95" t="str">
        <f t="shared" si="30"/>
        <v>Cash Flow 93</v>
      </c>
      <c r="CS14" s="95" t="str">
        <f t="shared" si="30"/>
        <v>Cash Flow 94</v>
      </c>
      <c r="CT14" s="95" t="str">
        <f t="shared" si="30"/>
        <v>Cash Flow 95</v>
      </c>
      <c r="CU14" s="95" t="str">
        <f t="shared" si="30"/>
        <v>Cash Flow 96</v>
      </c>
      <c r="CV14" s="95" t="str">
        <f t="shared" si="30"/>
        <v>Cash Flow 97</v>
      </c>
      <c r="CW14" s="95" t="str">
        <f t="shared" si="30"/>
        <v>Cash Flow 98</v>
      </c>
      <c r="CX14" s="95" t="str">
        <f t="shared" si="30"/>
        <v>Cash Flow 99</v>
      </c>
      <c r="CY14" s="95" t="str">
        <f t="shared" si="30"/>
        <v>Cash Flow 100</v>
      </c>
      <c r="CZ14" s="95" t="str">
        <f t="shared" si="30"/>
        <v>Cash Flow 101</v>
      </c>
      <c r="DA14" s="95" t="str">
        <f t="shared" si="30"/>
        <v>Cash Flow 102</v>
      </c>
      <c r="DB14" s="95" t="str">
        <f t="shared" si="30"/>
        <v>Cash Flow 103</v>
      </c>
      <c r="DC14" s="95" t="str">
        <f t="shared" si="30"/>
        <v>Cash Flow 104</v>
      </c>
      <c r="DD14" s="95" t="str">
        <f t="shared" si="30"/>
        <v>Cash Flow 105</v>
      </c>
      <c r="DE14" s="95" t="str">
        <f t="shared" si="30"/>
        <v>Cash Flow 106</v>
      </c>
      <c r="DF14" s="95" t="str">
        <f t="shared" si="30"/>
        <v>Cash Flow 107</v>
      </c>
      <c r="DG14" s="95" t="str">
        <f t="shared" si="30"/>
        <v>Cash Flow 108</v>
      </c>
      <c r="DH14" s="95" t="str">
        <f t="shared" si="30"/>
        <v>Cash Flow 109</v>
      </c>
      <c r="DI14" s="95" t="str">
        <f t="shared" si="30"/>
        <v>Cash Flow 110</v>
      </c>
      <c r="DJ14" s="95" t="str">
        <f t="shared" si="30"/>
        <v>Cash Flow 111</v>
      </c>
      <c r="DK14" s="95" t="str">
        <f t="shared" si="30"/>
        <v>Cash Flow 112</v>
      </c>
      <c r="DL14" s="95" t="str">
        <f t="shared" si="30"/>
        <v>Cash Flow 113</v>
      </c>
      <c r="DM14" s="95" t="str">
        <f t="shared" si="30"/>
        <v>Cash Flow 114</v>
      </c>
      <c r="DN14" s="95" t="str">
        <f t="shared" si="30"/>
        <v>Cash Flow 115</v>
      </c>
      <c r="DO14" s="95" t="str">
        <f t="shared" si="30"/>
        <v>Cash Flow 116</v>
      </c>
      <c r="DP14" s="95" t="str">
        <f t="shared" si="30"/>
        <v>Cash Flow 117</v>
      </c>
      <c r="DQ14" s="95" t="str">
        <f t="shared" si="30"/>
        <v>Cash Flow 118</v>
      </c>
      <c r="DR14" s="95" t="str">
        <f t="shared" si="30"/>
        <v>Cash Flow 119</v>
      </c>
      <c r="DS14" s="95" t="str">
        <f t="shared" si="30"/>
        <v>Cash Flow 120</v>
      </c>
      <c r="DT14" s="95" t="str">
        <f t="shared" si="30"/>
        <v>Cash Flow 121</v>
      </c>
      <c r="DU14" s="95" t="str">
        <f t="shared" si="30"/>
        <v>Cash Flow 122</v>
      </c>
      <c r="DV14" s="95" t="str">
        <f t="shared" si="30"/>
        <v>Cash Flow 123</v>
      </c>
      <c r="DW14" s="95" t="str">
        <f t="shared" si="30"/>
        <v>Cash Flow 124</v>
      </c>
      <c r="DX14" s="95" t="str">
        <f t="shared" si="30"/>
        <v>Cash Flow 125</v>
      </c>
      <c r="DY14" s="95" t="str">
        <f t="shared" si="30"/>
        <v>Cash Flow 126</v>
      </c>
      <c r="DZ14" s="95" t="str">
        <f t="shared" si="30"/>
        <v>Cash Flow 127</v>
      </c>
      <c r="EA14" s="95" t="str">
        <f t="shared" si="30"/>
        <v>Cash Flow 128</v>
      </c>
      <c r="EB14" s="95" t="str">
        <f t="shared" ref="EB14:GA14" si="31">"Cash Flow "&amp;EB$4</f>
        <v>Cash Flow 129</v>
      </c>
      <c r="EC14" s="95" t="str">
        <f t="shared" si="31"/>
        <v>Cash Flow 130</v>
      </c>
      <c r="ED14" s="95" t="str">
        <f t="shared" si="31"/>
        <v>Cash Flow 131</v>
      </c>
      <c r="EE14" s="95" t="str">
        <f t="shared" si="31"/>
        <v>Cash Flow 132</v>
      </c>
      <c r="EF14" s="95" t="str">
        <f t="shared" si="31"/>
        <v>Cash Flow 133</v>
      </c>
      <c r="EG14" s="95" t="str">
        <f t="shared" si="31"/>
        <v>Cash Flow 134</v>
      </c>
      <c r="EH14" s="95" t="str">
        <f t="shared" si="31"/>
        <v>Cash Flow 135</v>
      </c>
      <c r="EI14" s="95" t="str">
        <f t="shared" si="31"/>
        <v>Cash Flow 136</v>
      </c>
      <c r="EJ14" s="95" t="str">
        <f t="shared" si="31"/>
        <v>Cash Flow 137</v>
      </c>
      <c r="EK14" s="95" t="str">
        <f t="shared" si="31"/>
        <v>Cash Flow 138</v>
      </c>
      <c r="EL14" s="95" t="str">
        <f t="shared" si="31"/>
        <v>Cash Flow 139</v>
      </c>
      <c r="EM14" s="95" t="str">
        <f t="shared" si="31"/>
        <v>Cash Flow 140</v>
      </c>
      <c r="EN14" s="95" t="str">
        <f t="shared" si="31"/>
        <v>Cash Flow 141</v>
      </c>
      <c r="EO14" s="95" t="str">
        <f t="shared" si="31"/>
        <v>Cash Flow 142</v>
      </c>
      <c r="EP14" s="95" t="str">
        <f t="shared" si="31"/>
        <v>Cash Flow 143</v>
      </c>
      <c r="EQ14" s="95" t="str">
        <f t="shared" si="31"/>
        <v>Cash Flow 144</v>
      </c>
      <c r="ER14" s="95" t="str">
        <f t="shared" si="31"/>
        <v>Cash Flow 145</v>
      </c>
      <c r="ES14" s="95" t="str">
        <f t="shared" si="31"/>
        <v>Cash Flow 146</v>
      </c>
      <c r="ET14" s="95" t="str">
        <f t="shared" si="31"/>
        <v>Cash Flow 147</v>
      </c>
      <c r="EU14" s="95" t="str">
        <f t="shared" si="31"/>
        <v>Cash Flow 148</v>
      </c>
      <c r="EV14" s="95" t="str">
        <f t="shared" si="31"/>
        <v>Cash Flow 149</v>
      </c>
      <c r="EW14" s="95" t="str">
        <f t="shared" si="31"/>
        <v>Cash Flow 150</v>
      </c>
      <c r="EX14" s="95" t="str">
        <f t="shared" si="31"/>
        <v>Cash Flow 151</v>
      </c>
      <c r="EY14" s="95" t="str">
        <f t="shared" si="31"/>
        <v>Cash Flow 152</v>
      </c>
      <c r="EZ14" s="95" t="str">
        <f t="shared" si="31"/>
        <v>Cash Flow 153</v>
      </c>
      <c r="FA14" s="95" t="str">
        <f t="shared" si="31"/>
        <v>Cash Flow 154</v>
      </c>
      <c r="FB14" s="95" t="str">
        <f t="shared" si="31"/>
        <v>Cash Flow 155</v>
      </c>
      <c r="FC14" s="95" t="str">
        <f t="shared" si="31"/>
        <v>Cash Flow 156</v>
      </c>
      <c r="FD14" s="95" t="str">
        <f t="shared" si="31"/>
        <v>Cash Flow 157</v>
      </c>
      <c r="FE14" s="95" t="str">
        <f t="shared" si="31"/>
        <v>Cash Flow 158</v>
      </c>
      <c r="FF14" s="95" t="str">
        <f t="shared" si="31"/>
        <v>Cash Flow 159</v>
      </c>
      <c r="FG14" s="95" t="str">
        <f t="shared" si="31"/>
        <v>Cash Flow 160</v>
      </c>
      <c r="FH14" s="95" t="str">
        <f t="shared" si="31"/>
        <v>Cash Flow 161</v>
      </c>
      <c r="FI14" s="95" t="str">
        <f t="shared" si="31"/>
        <v>Cash Flow 162</v>
      </c>
      <c r="FJ14" s="95" t="str">
        <f t="shared" si="31"/>
        <v>Cash Flow 163</v>
      </c>
      <c r="FK14" s="95" t="str">
        <f t="shared" si="31"/>
        <v>Cash Flow 164</v>
      </c>
      <c r="FL14" s="95" t="str">
        <f t="shared" si="31"/>
        <v>Cash Flow 165</v>
      </c>
      <c r="FM14" s="95" t="str">
        <f t="shared" si="31"/>
        <v>Cash Flow 166</v>
      </c>
      <c r="FN14" s="95" t="str">
        <f t="shared" si="31"/>
        <v>Cash Flow 167</v>
      </c>
      <c r="FO14" s="95" t="str">
        <f t="shared" si="31"/>
        <v>Cash Flow 168</v>
      </c>
      <c r="FP14" s="95" t="str">
        <f t="shared" si="31"/>
        <v>Cash Flow 169</v>
      </c>
      <c r="FQ14" s="95" t="str">
        <f t="shared" si="31"/>
        <v>Cash Flow 170</v>
      </c>
      <c r="FR14" s="95" t="str">
        <f t="shared" si="31"/>
        <v>Cash Flow 171</v>
      </c>
      <c r="FS14" s="95" t="str">
        <f t="shared" si="31"/>
        <v>Cash Flow 172</v>
      </c>
      <c r="FT14" s="95" t="str">
        <f t="shared" si="31"/>
        <v>Cash Flow 173</v>
      </c>
      <c r="FU14" s="95" t="str">
        <f t="shared" si="31"/>
        <v>Cash Flow 174</v>
      </c>
      <c r="FV14" s="95" t="str">
        <f t="shared" si="31"/>
        <v>Cash Flow 175</v>
      </c>
      <c r="FW14" s="95" t="str">
        <f t="shared" si="31"/>
        <v>Cash Flow 176</v>
      </c>
      <c r="FX14" s="95" t="str">
        <f t="shared" si="31"/>
        <v>Cash Flow 177</v>
      </c>
      <c r="FY14" s="95" t="str">
        <f t="shared" si="31"/>
        <v>Cash Flow 178</v>
      </c>
      <c r="FZ14" s="95" t="str">
        <f t="shared" si="31"/>
        <v>Cash Flow 179</v>
      </c>
      <c r="GA14" s="95" t="str">
        <f t="shared" si="31"/>
        <v>Cash Flow 180</v>
      </c>
      <c r="GB14" s="96"/>
    </row>
    <row r="15" spans="1:189" ht="16.5" customHeight="1">
      <c r="A15" s="1"/>
      <c r="B15" s="65"/>
      <c r="C15" s="98">
        <f>C6+C9+C12</f>
        <v>0</v>
      </c>
      <c r="D15" s="99">
        <f t="shared" ref="D15:BO15" si="32">D6+D9+D12</f>
        <v>0</v>
      </c>
      <c r="E15" s="99">
        <f t="shared" si="32"/>
        <v>0</v>
      </c>
      <c r="F15" s="99">
        <f t="shared" si="32"/>
        <v>0</v>
      </c>
      <c r="G15" s="99">
        <f t="shared" si="32"/>
        <v>0</v>
      </c>
      <c r="H15" s="99">
        <f t="shared" si="32"/>
        <v>0</v>
      </c>
      <c r="I15" s="99">
        <f t="shared" si="32"/>
        <v>0</v>
      </c>
      <c r="J15" s="99">
        <f t="shared" si="32"/>
        <v>0</v>
      </c>
      <c r="K15" s="99">
        <f t="shared" si="32"/>
        <v>0</v>
      </c>
      <c r="L15" s="99">
        <f t="shared" si="32"/>
        <v>0</v>
      </c>
      <c r="M15" s="99">
        <f t="shared" si="32"/>
        <v>0</v>
      </c>
      <c r="N15" s="99">
        <f t="shared" si="32"/>
        <v>0</v>
      </c>
      <c r="O15" s="99">
        <f t="shared" si="32"/>
        <v>0</v>
      </c>
      <c r="P15" s="99">
        <f t="shared" si="32"/>
        <v>0</v>
      </c>
      <c r="Q15" s="99">
        <f t="shared" si="32"/>
        <v>0</v>
      </c>
      <c r="R15" s="99">
        <f t="shared" si="32"/>
        <v>0</v>
      </c>
      <c r="S15" s="99">
        <f t="shared" si="32"/>
        <v>0</v>
      </c>
      <c r="T15" s="99">
        <f t="shared" si="32"/>
        <v>0</v>
      </c>
      <c r="U15" s="99">
        <f t="shared" si="32"/>
        <v>0</v>
      </c>
      <c r="V15" s="99">
        <f t="shared" si="32"/>
        <v>0</v>
      </c>
      <c r="W15" s="99">
        <f t="shared" si="32"/>
        <v>0</v>
      </c>
      <c r="X15" s="99">
        <f t="shared" si="32"/>
        <v>0</v>
      </c>
      <c r="Y15" s="99">
        <f t="shared" si="32"/>
        <v>0</v>
      </c>
      <c r="Z15" s="99">
        <f t="shared" si="32"/>
        <v>0</v>
      </c>
      <c r="AA15" s="99">
        <f t="shared" si="32"/>
        <v>0</v>
      </c>
      <c r="AB15" s="99">
        <f t="shared" si="32"/>
        <v>0</v>
      </c>
      <c r="AC15" s="99">
        <f t="shared" si="32"/>
        <v>0</v>
      </c>
      <c r="AD15" s="99">
        <f t="shared" si="32"/>
        <v>0</v>
      </c>
      <c r="AE15" s="99">
        <f t="shared" si="32"/>
        <v>0</v>
      </c>
      <c r="AF15" s="99">
        <f t="shared" si="32"/>
        <v>0</v>
      </c>
      <c r="AG15" s="99">
        <f t="shared" si="32"/>
        <v>0</v>
      </c>
      <c r="AH15" s="99">
        <f t="shared" si="32"/>
        <v>0</v>
      </c>
      <c r="AI15" s="99">
        <f t="shared" si="32"/>
        <v>0</v>
      </c>
      <c r="AJ15" s="99">
        <f t="shared" si="32"/>
        <v>0</v>
      </c>
      <c r="AK15" s="99">
        <f t="shared" si="32"/>
        <v>0</v>
      </c>
      <c r="AL15" s="99">
        <f t="shared" si="32"/>
        <v>0</v>
      </c>
      <c r="AM15" s="99">
        <f t="shared" si="32"/>
        <v>0</v>
      </c>
      <c r="AN15" s="99">
        <f t="shared" si="32"/>
        <v>0</v>
      </c>
      <c r="AO15" s="99">
        <f t="shared" si="32"/>
        <v>0</v>
      </c>
      <c r="AP15" s="99">
        <f t="shared" si="32"/>
        <v>0</v>
      </c>
      <c r="AQ15" s="99">
        <f t="shared" si="32"/>
        <v>0</v>
      </c>
      <c r="AR15" s="99">
        <f t="shared" si="32"/>
        <v>0</v>
      </c>
      <c r="AS15" s="99">
        <f t="shared" si="32"/>
        <v>0</v>
      </c>
      <c r="AT15" s="99">
        <f t="shared" si="32"/>
        <v>0</v>
      </c>
      <c r="AU15" s="99">
        <f t="shared" si="32"/>
        <v>0</v>
      </c>
      <c r="AV15" s="99">
        <f t="shared" si="32"/>
        <v>0</v>
      </c>
      <c r="AW15" s="99">
        <f t="shared" si="32"/>
        <v>0</v>
      </c>
      <c r="AX15" s="99">
        <f t="shared" si="32"/>
        <v>0</v>
      </c>
      <c r="AY15" s="99">
        <f t="shared" si="32"/>
        <v>0</v>
      </c>
      <c r="AZ15" s="99">
        <f t="shared" si="32"/>
        <v>0</v>
      </c>
      <c r="BA15" s="99">
        <f t="shared" si="32"/>
        <v>0</v>
      </c>
      <c r="BB15" s="99">
        <f t="shared" si="32"/>
        <v>0</v>
      </c>
      <c r="BC15" s="99">
        <f t="shared" si="32"/>
        <v>0</v>
      </c>
      <c r="BD15" s="99">
        <f t="shared" si="32"/>
        <v>0</v>
      </c>
      <c r="BE15" s="99">
        <f t="shared" si="32"/>
        <v>0</v>
      </c>
      <c r="BF15" s="99">
        <f t="shared" si="32"/>
        <v>0</v>
      </c>
      <c r="BG15" s="99">
        <f t="shared" si="32"/>
        <v>0</v>
      </c>
      <c r="BH15" s="99">
        <f t="shared" si="32"/>
        <v>0</v>
      </c>
      <c r="BI15" s="99">
        <f t="shared" si="32"/>
        <v>0</v>
      </c>
      <c r="BJ15" s="99">
        <f t="shared" si="32"/>
        <v>0</v>
      </c>
      <c r="BK15" s="99">
        <f t="shared" si="32"/>
        <v>0</v>
      </c>
      <c r="BL15" s="99">
        <f t="shared" si="32"/>
        <v>0</v>
      </c>
      <c r="BM15" s="99">
        <f t="shared" si="32"/>
        <v>0</v>
      </c>
      <c r="BN15" s="99">
        <f t="shared" si="32"/>
        <v>0</v>
      </c>
      <c r="BO15" s="99">
        <f t="shared" si="32"/>
        <v>0</v>
      </c>
      <c r="BP15" s="99">
        <f t="shared" ref="BP15:EA15" si="33">BP6+BP9+BP12</f>
        <v>0</v>
      </c>
      <c r="BQ15" s="99">
        <f t="shared" si="33"/>
        <v>0</v>
      </c>
      <c r="BR15" s="99">
        <f t="shared" si="33"/>
        <v>0</v>
      </c>
      <c r="BS15" s="99">
        <f t="shared" si="33"/>
        <v>0</v>
      </c>
      <c r="BT15" s="99">
        <f t="shared" si="33"/>
        <v>0</v>
      </c>
      <c r="BU15" s="99">
        <f t="shared" si="33"/>
        <v>0</v>
      </c>
      <c r="BV15" s="99">
        <f t="shared" si="33"/>
        <v>0</v>
      </c>
      <c r="BW15" s="99">
        <f t="shared" si="33"/>
        <v>0</v>
      </c>
      <c r="BX15" s="99">
        <f t="shared" si="33"/>
        <v>0</v>
      </c>
      <c r="BY15" s="99">
        <f t="shared" si="33"/>
        <v>0</v>
      </c>
      <c r="BZ15" s="99">
        <f t="shared" si="33"/>
        <v>0</v>
      </c>
      <c r="CA15" s="99">
        <f t="shared" si="33"/>
        <v>0</v>
      </c>
      <c r="CB15" s="99">
        <f t="shared" si="33"/>
        <v>0</v>
      </c>
      <c r="CC15" s="99">
        <f t="shared" si="33"/>
        <v>0</v>
      </c>
      <c r="CD15" s="99">
        <f t="shared" si="33"/>
        <v>0</v>
      </c>
      <c r="CE15" s="99">
        <f t="shared" si="33"/>
        <v>0</v>
      </c>
      <c r="CF15" s="99">
        <f t="shared" si="33"/>
        <v>0</v>
      </c>
      <c r="CG15" s="99">
        <f t="shared" si="33"/>
        <v>0</v>
      </c>
      <c r="CH15" s="99">
        <f t="shared" si="33"/>
        <v>0</v>
      </c>
      <c r="CI15" s="99">
        <f t="shared" si="33"/>
        <v>0</v>
      </c>
      <c r="CJ15" s="99">
        <f t="shared" si="33"/>
        <v>0</v>
      </c>
      <c r="CK15" s="99">
        <f t="shared" si="33"/>
        <v>0</v>
      </c>
      <c r="CL15" s="99">
        <f t="shared" si="33"/>
        <v>0</v>
      </c>
      <c r="CM15" s="99">
        <f t="shared" si="33"/>
        <v>0</v>
      </c>
      <c r="CN15" s="99">
        <f t="shared" si="33"/>
        <v>0</v>
      </c>
      <c r="CO15" s="99">
        <f t="shared" si="33"/>
        <v>0</v>
      </c>
      <c r="CP15" s="99">
        <f t="shared" si="33"/>
        <v>0</v>
      </c>
      <c r="CQ15" s="99">
        <f t="shared" si="33"/>
        <v>0</v>
      </c>
      <c r="CR15" s="99">
        <f t="shared" si="33"/>
        <v>0</v>
      </c>
      <c r="CS15" s="99">
        <f t="shared" si="33"/>
        <v>0</v>
      </c>
      <c r="CT15" s="99">
        <f t="shared" si="33"/>
        <v>0</v>
      </c>
      <c r="CU15" s="99">
        <f t="shared" si="33"/>
        <v>0</v>
      </c>
      <c r="CV15" s="99">
        <f t="shared" si="33"/>
        <v>0</v>
      </c>
      <c r="CW15" s="99">
        <f t="shared" si="33"/>
        <v>0</v>
      </c>
      <c r="CX15" s="99">
        <f t="shared" si="33"/>
        <v>0</v>
      </c>
      <c r="CY15" s="99">
        <f t="shared" si="33"/>
        <v>0</v>
      </c>
      <c r="CZ15" s="99">
        <f t="shared" si="33"/>
        <v>0</v>
      </c>
      <c r="DA15" s="99">
        <f t="shared" si="33"/>
        <v>0</v>
      </c>
      <c r="DB15" s="99">
        <f t="shared" si="33"/>
        <v>0</v>
      </c>
      <c r="DC15" s="99">
        <f t="shared" si="33"/>
        <v>0</v>
      </c>
      <c r="DD15" s="99">
        <f t="shared" si="33"/>
        <v>0</v>
      </c>
      <c r="DE15" s="99">
        <f t="shared" si="33"/>
        <v>0</v>
      </c>
      <c r="DF15" s="99">
        <f t="shared" si="33"/>
        <v>0</v>
      </c>
      <c r="DG15" s="99">
        <f t="shared" si="33"/>
        <v>0</v>
      </c>
      <c r="DH15" s="99">
        <f t="shared" si="33"/>
        <v>0</v>
      </c>
      <c r="DI15" s="99">
        <f t="shared" si="33"/>
        <v>0</v>
      </c>
      <c r="DJ15" s="99">
        <f t="shared" si="33"/>
        <v>0</v>
      </c>
      <c r="DK15" s="99">
        <f t="shared" si="33"/>
        <v>0</v>
      </c>
      <c r="DL15" s="99">
        <f t="shared" si="33"/>
        <v>0</v>
      </c>
      <c r="DM15" s="99">
        <f t="shared" si="33"/>
        <v>0</v>
      </c>
      <c r="DN15" s="99">
        <f t="shared" si="33"/>
        <v>0</v>
      </c>
      <c r="DO15" s="99">
        <f t="shared" si="33"/>
        <v>0</v>
      </c>
      <c r="DP15" s="99">
        <f t="shared" si="33"/>
        <v>0</v>
      </c>
      <c r="DQ15" s="99">
        <f t="shared" si="33"/>
        <v>0</v>
      </c>
      <c r="DR15" s="99">
        <f t="shared" si="33"/>
        <v>0</v>
      </c>
      <c r="DS15" s="99">
        <f t="shared" si="33"/>
        <v>0</v>
      </c>
      <c r="DT15" s="99">
        <f t="shared" si="33"/>
        <v>0</v>
      </c>
      <c r="DU15" s="99">
        <f t="shared" si="33"/>
        <v>0</v>
      </c>
      <c r="DV15" s="99">
        <f t="shared" si="33"/>
        <v>0</v>
      </c>
      <c r="DW15" s="99">
        <f t="shared" si="33"/>
        <v>0</v>
      </c>
      <c r="DX15" s="99">
        <f t="shared" si="33"/>
        <v>0</v>
      </c>
      <c r="DY15" s="99">
        <f t="shared" si="33"/>
        <v>0</v>
      </c>
      <c r="DZ15" s="99">
        <f t="shared" si="33"/>
        <v>0</v>
      </c>
      <c r="EA15" s="99">
        <f t="shared" si="33"/>
        <v>0</v>
      </c>
      <c r="EB15" s="99">
        <f t="shared" ref="EB15:GA15" si="34">EB6+EB9+EB12</f>
        <v>0</v>
      </c>
      <c r="EC15" s="99">
        <f t="shared" si="34"/>
        <v>0</v>
      </c>
      <c r="ED15" s="99">
        <f t="shared" si="34"/>
        <v>0</v>
      </c>
      <c r="EE15" s="99">
        <f t="shared" si="34"/>
        <v>0</v>
      </c>
      <c r="EF15" s="99">
        <f t="shared" si="34"/>
        <v>0</v>
      </c>
      <c r="EG15" s="99">
        <f t="shared" si="34"/>
        <v>0</v>
      </c>
      <c r="EH15" s="99">
        <f t="shared" si="34"/>
        <v>0</v>
      </c>
      <c r="EI15" s="99">
        <f t="shared" si="34"/>
        <v>0</v>
      </c>
      <c r="EJ15" s="99">
        <f t="shared" si="34"/>
        <v>0</v>
      </c>
      <c r="EK15" s="99">
        <f t="shared" si="34"/>
        <v>0</v>
      </c>
      <c r="EL15" s="99">
        <f t="shared" si="34"/>
        <v>0</v>
      </c>
      <c r="EM15" s="99">
        <f t="shared" si="34"/>
        <v>0</v>
      </c>
      <c r="EN15" s="99">
        <f t="shared" si="34"/>
        <v>0</v>
      </c>
      <c r="EO15" s="99">
        <f t="shared" si="34"/>
        <v>0</v>
      </c>
      <c r="EP15" s="99">
        <f t="shared" si="34"/>
        <v>0</v>
      </c>
      <c r="EQ15" s="99">
        <f t="shared" si="34"/>
        <v>0</v>
      </c>
      <c r="ER15" s="99">
        <f t="shared" si="34"/>
        <v>0</v>
      </c>
      <c r="ES15" s="99">
        <f t="shared" si="34"/>
        <v>0</v>
      </c>
      <c r="ET15" s="99">
        <f t="shared" si="34"/>
        <v>0</v>
      </c>
      <c r="EU15" s="99">
        <f t="shared" si="34"/>
        <v>0</v>
      </c>
      <c r="EV15" s="99">
        <f t="shared" si="34"/>
        <v>0</v>
      </c>
      <c r="EW15" s="99">
        <f t="shared" si="34"/>
        <v>0</v>
      </c>
      <c r="EX15" s="99">
        <f t="shared" si="34"/>
        <v>0</v>
      </c>
      <c r="EY15" s="99">
        <f t="shared" si="34"/>
        <v>0</v>
      </c>
      <c r="EZ15" s="99">
        <f t="shared" si="34"/>
        <v>0</v>
      </c>
      <c r="FA15" s="99">
        <f t="shared" si="34"/>
        <v>0</v>
      </c>
      <c r="FB15" s="99">
        <f t="shared" si="34"/>
        <v>0</v>
      </c>
      <c r="FC15" s="99">
        <f t="shared" si="34"/>
        <v>0</v>
      </c>
      <c r="FD15" s="99">
        <f t="shared" si="34"/>
        <v>0</v>
      </c>
      <c r="FE15" s="99">
        <f t="shared" si="34"/>
        <v>0</v>
      </c>
      <c r="FF15" s="99">
        <f t="shared" si="34"/>
        <v>0</v>
      </c>
      <c r="FG15" s="99">
        <f t="shared" si="34"/>
        <v>0</v>
      </c>
      <c r="FH15" s="99">
        <f t="shared" si="34"/>
        <v>0</v>
      </c>
      <c r="FI15" s="99">
        <f t="shared" si="34"/>
        <v>0</v>
      </c>
      <c r="FJ15" s="99">
        <f t="shared" si="34"/>
        <v>0</v>
      </c>
      <c r="FK15" s="99">
        <f t="shared" si="34"/>
        <v>0</v>
      </c>
      <c r="FL15" s="99">
        <f t="shared" si="34"/>
        <v>0</v>
      </c>
      <c r="FM15" s="99">
        <f t="shared" si="34"/>
        <v>0</v>
      </c>
      <c r="FN15" s="99">
        <f t="shared" si="34"/>
        <v>0</v>
      </c>
      <c r="FO15" s="99">
        <f t="shared" si="34"/>
        <v>0</v>
      </c>
      <c r="FP15" s="99">
        <f t="shared" si="34"/>
        <v>0</v>
      </c>
      <c r="FQ15" s="99">
        <f t="shared" si="34"/>
        <v>0</v>
      </c>
      <c r="FR15" s="99">
        <f t="shared" si="34"/>
        <v>0</v>
      </c>
      <c r="FS15" s="99">
        <f t="shared" si="34"/>
        <v>0</v>
      </c>
      <c r="FT15" s="99">
        <f t="shared" si="34"/>
        <v>0</v>
      </c>
      <c r="FU15" s="99">
        <f t="shared" si="34"/>
        <v>0</v>
      </c>
      <c r="FV15" s="99">
        <f t="shared" si="34"/>
        <v>0</v>
      </c>
      <c r="FW15" s="99">
        <f t="shared" si="34"/>
        <v>0</v>
      </c>
      <c r="FX15" s="99">
        <f t="shared" si="34"/>
        <v>0</v>
      </c>
      <c r="FY15" s="99">
        <f t="shared" si="34"/>
        <v>0</v>
      </c>
      <c r="FZ15" s="99">
        <f t="shared" si="34"/>
        <v>0</v>
      </c>
      <c r="GA15" s="99">
        <f t="shared" si="34"/>
        <v>0</v>
      </c>
      <c r="GB15" s="100"/>
    </row>
    <row r="16" spans="1:189" ht="6.75" customHeight="1">
      <c r="A16" s="1"/>
      <c r="B16" s="65"/>
      <c r="C16" s="65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66"/>
    </row>
    <row r="17" spans="1:184" s="11" customFormat="1" ht="33" customHeight="1">
      <c r="B17" s="93"/>
      <c r="C17" s="94" t="str">
        <f>"BE "&amp;C$4</f>
        <v>BE 0</v>
      </c>
      <c r="D17" s="95" t="str">
        <f t="shared" ref="D17:BO17" si="35">"BE "&amp;D$4</f>
        <v>BE 1</v>
      </c>
      <c r="E17" s="95" t="str">
        <f t="shared" si="35"/>
        <v>BE 2</v>
      </c>
      <c r="F17" s="95" t="str">
        <f t="shared" si="35"/>
        <v>BE 3</v>
      </c>
      <c r="G17" s="95" t="str">
        <f t="shared" si="35"/>
        <v>BE 4</v>
      </c>
      <c r="H17" s="95" t="str">
        <f t="shared" si="35"/>
        <v>BE 5</v>
      </c>
      <c r="I17" s="95" t="str">
        <f t="shared" si="35"/>
        <v>BE 6</v>
      </c>
      <c r="J17" s="95" t="str">
        <f t="shared" si="35"/>
        <v>BE 7</v>
      </c>
      <c r="K17" s="95" t="str">
        <f t="shared" si="35"/>
        <v>BE 8</v>
      </c>
      <c r="L17" s="95" t="str">
        <f t="shared" si="35"/>
        <v>BE 9</v>
      </c>
      <c r="M17" s="95" t="str">
        <f t="shared" si="35"/>
        <v>BE 10</v>
      </c>
      <c r="N17" s="95" t="str">
        <f t="shared" si="35"/>
        <v>BE 11</v>
      </c>
      <c r="O17" s="95" t="str">
        <f t="shared" si="35"/>
        <v>BE 12</v>
      </c>
      <c r="P17" s="95" t="str">
        <f t="shared" si="35"/>
        <v>BE 13</v>
      </c>
      <c r="Q17" s="95" t="str">
        <f t="shared" si="35"/>
        <v>BE 14</v>
      </c>
      <c r="R17" s="95" t="str">
        <f t="shared" si="35"/>
        <v>BE 15</v>
      </c>
      <c r="S17" s="95" t="str">
        <f t="shared" si="35"/>
        <v>BE 16</v>
      </c>
      <c r="T17" s="95" t="str">
        <f t="shared" si="35"/>
        <v>BE 17</v>
      </c>
      <c r="U17" s="95" t="str">
        <f t="shared" si="35"/>
        <v>BE 18</v>
      </c>
      <c r="V17" s="95" t="str">
        <f t="shared" si="35"/>
        <v>BE 19</v>
      </c>
      <c r="W17" s="95" t="str">
        <f t="shared" si="35"/>
        <v>BE 20</v>
      </c>
      <c r="X17" s="95" t="str">
        <f t="shared" si="35"/>
        <v>BE 21</v>
      </c>
      <c r="Y17" s="95" t="str">
        <f t="shared" si="35"/>
        <v>BE 22</v>
      </c>
      <c r="Z17" s="95" t="str">
        <f t="shared" si="35"/>
        <v>BE 23</v>
      </c>
      <c r="AA17" s="95" t="str">
        <f t="shared" si="35"/>
        <v>BE 24</v>
      </c>
      <c r="AB17" s="95" t="str">
        <f t="shared" si="35"/>
        <v>BE 25</v>
      </c>
      <c r="AC17" s="95" t="str">
        <f t="shared" si="35"/>
        <v>BE 26</v>
      </c>
      <c r="AD17" s="95" t="str">
        <f t="shared" si="35"/>
        <v>BE 27</v>
      </c>
      <c r="AE17" s="95" t="str">
        <f t="shared" si="35"/>
        <v>BE 28</v>
      </c>
      <c r="AF17" s="95" t="str">
        <f t="shared" si="35"/>
        <v>BE 29</v>
      </c>
      <c r="AG17" s="95" t="str">
        <f t="shared" si="35"/>
        <v>BE 30</v>
      </c>
      <c r="AH17" s="95" t="str">
        <f t="shared" si="35"/>
        <v>BE 31</v>
      </c>
      <c r="AI17" s="95" t="str">
        <f t="shared" si="35"/>
        <v>BE 32</v>
      </c>
      <c r="AJ17" s="95" t="str">
        <f t="shared" si="35"/>
        <v>BE 33</v>
      </c>
      <c r="AK17" s="95" t="str">
        <f t="shared" si="35"/>
        <v>BE 34</v>
      </c>
      <c r="AL17" s="95" t="str">
        <f t="shared" si="35"/>
        <v>BE 35</v>
      </c>
      <c r="AM17" s="95" t="str">
        <f t="shared" si="35"/>
        <v>BE 36</v>
      </c>
      <c r="AN17" s="95" t="str">
        <f t="shared" si="35"/>
        <v>BE 37</v>
      </c>
      <c r="AO17" s="95" t="str">
        <f t="shared" si="35"/>
        <v>BE 38</v>
      </c>
      <c r="AP17" s="95" t="str">
        <f t="shared" si="35"/>
        <v>BE 39</v>
      </c>
      <c r="AQ17" s="95" t="str">
        <f t="shared" si="35"/>
        <v>BE 40</v>
      </c>
      <c r="AR17" s="95" t="str">
        <f t="shared" si="35"/>
        <v>BE 41</v>
      </c>
      <c r="AS17" s="95" t="str">
        <f t="shared" si="35"/>
        <v>BE 42</v>
      </c>
      <c r="AT17" s="95" t="str">
        <f t="shared" si="35"/>
        <v>BE 43</v>
      </c>
      <c r="AU17" s="95" t="str">
        <f t="shared" si="35"/>
        <v>BE 44</v>
      </c>
      <c r="AV17" s="95" t="str">
        <f t="shared" si="35"/>
        <v>BE 45</v>
      </c>
      <c r="AW17" s="95" t="str">
        <f t="shared" si="35"/>
        <v>BE 46</v>
      </c>
      <c r="AX17" s="95" t="str">
        <f t="shared" si="35"/>
        <v>BE 47</v>
      </c>
      <c r="AY17" s="95" t="str">
        <f t="shared" si="35"/>
        <v>BE 48</v>
      </c>
      <c r="AZ17" s="95" t="str">
        <f t="shared" si="35"/>
        <v>BE 49</v>
      </c>
      <c r="BA17" s="95" t="str">
        <f t="shared" si="35"/>
        <v>BE 50</v>
      </c>
      <c r="BB17" s="95" t="str">
        <f t="shared" si="35"/>
        <v>BE 51</v>
      </c>
      <c r="BC17" s="95" t="str">
        <f t="shared" si="35"/>
        <v>BE 52</v>
      </c>
      <c r="BD17" s="95" t="str">
        <f t="shared" si="35"/>
        <v>BE 53</v>
      </c>
      <c r="BE17" s="95" t="str">
        <f t="shared" si="35"/>
        <v>BE 54</v>
      </c>
      <c r="BF17" s="95" t="str">
        <f t="shared" si="35"/>
        <v>BE 55</v>
      </c>
      <c r="BG17" s="95" t="str">
        <f t="shared" si="35"/>
        <v>BE 56</v>
      </c>
      <c r="BH17" s="95" t="str">
        <f t="shared" si="35"/>
        <v>BE 57</v>
      </c>
      <c r="BI17" s="95" t="str">
        <f t="shared" si="35"/>
        <v>BE 58</v>
      </c>
      <c r="BJ17" s="95" t="str">
        <f t="shared" si="35"/>
        <v>BE 59</v>
      </c>
      <c r="BK17" s="95" t="str">
        <f t="shared" si="35"/>
        <v>BE 60</v>
      </c>
      <c r="BL17" s="95" t="str">
        <f t="shared" si="35"/>
        <v>BE 61</v>
      </c>
      <c r="BM17" s="95" t="str">
        <f t="shared" si="35"/>
        <v>BE 62</v>
      </c>
      <c r="BN17" s="95" t="str">
        <f t="shared" si="35"/>
        <v>BE 63</v>
      </c>
      <c r="BO17" s="95" t="str">
        <f t="shared" si="35"/>
        <v>BE 64</v>
      </c>
      <c r="BP17" s="95" t="str">
        <f t="shared" ref="BP17:EA17" si="36">"BE "&amp;BP$4</f>
        <v>BE 65</v>
      </c>
      <c r="BQ17" s="95" t="str">
        <f t="shared" si="36"/>
        <v>BE 66</v>
      </c>
      <c r="BR17" s="95" t="str">
        <f t="shared" si="36"/>
        <v>BE 67</v>
      </c>
      <c r="BS17" s="95" t="str">
        <f t="shared" si="36"/>
        <v>BE 68</v>
      </c>
      <c r="BT17" s="95" t="str">
        <f t="shared" si="36"/>
        <v>BE 69</v>
      </c>
      <c r="BU17" s="95" t="str">
        <f t="shared" si="36"/>
        <v>BE 70</v>
      </c>
      <c r="BV17" s="95" t="str">
        <f t="shared" si="36"/>
        <v>BE 71</v>
      </c>
      <c r="BW17" s="95" t="str">
        <f t="shared" si="36"/>
        <v>BE 72</v>
      </c>
      <c r="BX17" s="95" t="str">
        <f t="shared" si="36"/>
        <v>BE 73</v>
      </c>
      <c r="BY17" s="95" t="str">
        <f t="shared" si="36"/>
        <v>BE 74</v>
      </c>
      <c r="BZ17" s="95" t="str">
        <f t="shared" si="36"/>
        <v>BE 75</v>
      </c>
      <c r="CA17" s="95" t="str">
        <f t="shared" si="36"/>
        <v>BE 76</v>
      </c>
      <c r="CB17" s="95" t="str">
        <f t="shared" si="36"/>
        <v>BE 77</v>
      </c>
      <c r="CC17" s="95" t="str">
        <f t="shared" si="36"/>
        <v>BE 78</v>
      </c>
      <c r="CD17" s="95" t="str">
        <f t="shared" si="36"/>
        <v>BE 79</v>
      </c>
      <c r="CE17" s="95" t="str">
        <f t="shared" si="36"/>
        <v>BE 80</v>
      </c>
      <c r="CF17" s="95" t="str">
        <f t="shared" si="36"/>
        <v>BE 81</v>
      </c>
      <c r="CG17" s="95" t="str">
        <f t="shared" si="36"/>
        <v>BE 82</v>
      </c>
      <c r="CH17" s="95" t="str">
        <f t="shared" si="36"/>
        <v>BE 83</v>
      </c>
      <c r="CI17" s="95" t="str">
        <f t="shared" si="36"/>
        <v>BE 84</v>
      </c>
      <c r="CJ17" s="95" t="str">
        <f t="shared" si="36"/>
        <v>BE 85</v>
      </c>
      <c r="CK17" s="95" t="str">
        <f t="shared" si="36"/>
        <v>BE 86</v>
      </c>
      <c r="CL17" s="95" t="str">
        <f t="shared" si="36"/>
        <v>BE 87</v>
      </c>
      <c r="CM17" s="95" t="str">
        <f t="shared" si="36"/>
        <v>BE 88</v>
      </c>
      <c r="CN17" s="95" t="str">
        <f t="shared" si="36"/>
        <v>BE 89</v>
      </c>
      <c r="CO17" s="95" t="str">
        <f t="shared" si="36"/>
        <v>BE 90</v>
      </c>
      <c r="CP17" s="95" t="str">
        <f t="shared" si="36"/>
        <v>BE 91</v>
      </c>
      <c r="CQ17" s="95" t="str">
        <f t="shared" si="36"/>
        <v>BE 92</v>
      </c>
      <c r="CR17" s="95" t="str">
        <f t="shared" si="36"/>
        <v>BE 93</v>
      </c>
      <c r="CS17" s="95" t="str">
        <f t="shared" si="36"/>
        <v>BE 94</v>
      </c>
      <c r="CT17" s="95" t="str">
        <f t="shared" si="36"/>
        <v>BE 95</v>
      </c>
      <c r="CU17" s="95" t="str">
        <f t="shared" si="36"/>
        <v>BE 96</v>
      </c>
      <c r="CV17" s="95" t="str">
        <f t="shared" si="36"/>
        <v>BE 97</v>
      </c>
      <c r="CW17" s="95" t="str">
        <f t="shared" si="36"/>
        <v>BE 98</v>
      </c>
      <c r="CX17" s="95" t="str">
        <f t="shared" si="36"/>
        <v>BE 99</v>
      </c>
      <c r="CY17" s="95" t="str">
        <f t="shared" si="36"/>
        <v>BE 100</v>
      </c>
      <c r="CZ17" s="95" t="str">
        <f t="shared" si="36"/>
        <v>BE 101</v>
      </c>
      <c r="DA17" s="95" t="str">
        <f t="shared" si="36"/>
        <v>BE 102</v>
      </c>
      <c r="DB17" s="95" t="str">
        <f t="shared" si="36"/>
        <v>BE 103</v>
      </c>
      <c r="DC17" s="95" t="str">
        <f t="shared" si="36"/>
        <v>BE 104</v>
      </c>
      <c r="DD17" s="95" t="str">
        <f t="shared" si="36"/>
        <v>BE 105</v>
      </c>
      <c r="DE17" s="95" t="str">
        <f t="shared" si="36"/>
        <v>BE 106</v>
      </c>
      <c r="DF17" s="95" t="str">
        <f t="shared" si="36"/>
        <v>BE 107</v>
      </c>
      <c r="DG17" s="95" t="str">
        <f t="shared" si="36"/>
        <v>BE 108</v>
      </c>
      <c r="DH17" s="95" t="str">
        <f t="shared" si="36"/>
        <v>BE 109</v>
      </c>
      <c r="DI17" s="95" t="str">
        <f t="shared" si="36"/>
        <v>BE 110</v>
      </c>
      <c r="DJ17" s="95" t="str">
        <f t="shared" si="36"/>
        <v>BE 111</v>
      </c>
      <c r="DK17" s="95" t="str">
        <f t="shared" si="36"/>
        <v>BE 112</v>
      </c>
      <c r="DL17" s="95" t="str">
        <f t="shared" si="36"/>
        <v>BE 113</v>
      </c>
      <c r="DM17" s="95" t="str">
        <f t="shared" si="36"/>
        <v>BE 114</v>
      </c>
      <c r="DN17" s="95" t="str">
        <f t="shared" si="36"/>
        <v>BE 115</v>
      </c>
      <c r="DO17" s="95" t="str">
        <f t="shared" si="36"/>
        <v>BE 116</v>
      </c>
      <c r="DP17" s="95" t="str">
        <f t="shared" si="36"/>
        <v>BE 117</v>
      </c>
      <c r="DQ17" s="95" t="str">
        <f t="shared" si="36"/>
        <v>BE 118</v>
      </c>
      <c r="DR17" s="95" t="str">
        <f t="shared" si="36"/>
        <v>BE 119</v>
      </c>
      <c r="DS17" s="95" t="str">
        <f t="shared" si="36"/>
        <v>BE 120</v>
      </c>
      <c r="DT17" s="95" t="str">
        <f t="shared" si="36"/>
        <v>BE 121</v>
      </c>
      <c r="DU17" s="95" t="str">
        <f t="shared" si="36"/>
        <v>BE 122</v>
      </c>
      <c r="DV17" s="95" t="str">
        <f t="shared" si="36"/>
        <v>BE 123</v>
      </c>
      <c r="DW17" s="95" t="str">
        <f t="shared" si="36"/>
        <v>BE 124</v>
      </c>
      <c r="DX17" s="95" t="str">
        <f t="shared" si="36"/>
        <v>BE 125</v>
      </c>
      <c r="DY17" s="95" t="str">
        <f t="shared" si="36"/>
        <v>BE 126</v>
      </c>
      <c r="DZ17" s="95" t="str">
        <f t="shared" si="36"/>
        <v>BE 127</v>
      </c>
      <c r="EA17" s="95" t="str">
        <f t="shared" si="36"/>
        <v>BE 128</v>
      </c>
      <c r="EB17" s="95" t="str">
        <f t="shared" ref="EB17:GA17" si="37">"BE "&amp;EB$4</f>
        <v>BE 129</v>
      </c>
      <c r="EC17" s="95" t="str">
        <f t="shared" si="37"/>
        <v>BE 130</v>
      </c>
      <c r="ED17" s="95" t="str">
        <f t="shared" si="37"/>
        <v>BE 131</v>
      </c>
      <c r="EE17" s="95" t="str">
        <f t="shared" si="37"/>
        <v>BE 132</v>
      </c>
      <c r="EF17" s="95" t="str">
        <f t="shared" si="37"/>
        <v>BE 133</v>
      </c>
      <c r="EG17" s="95" t="str">
        <f t="shared" si="37"/>
        <v>BE 134</v>
      </c>
      <c r="EH17" s="95" t="str">
        <f t="shared" si="37"/>
        <v>BE 135</v>
      </c>
      <c r="EI17" s="95" t="str">
        <f t="shared" si="37"/>
        <v>BE 136</v>
      </c>
      <c r="EJ17" s="95" t="str">
        <f t="shared" si="37"/>
        <v>BE 137</v>
      </c>
      <c r="EK17" s="95" t="str">
        <f t="shared" si="37"/>
        <v>BE 138</v>
      </c>
      <c r="EL17" s="95" t="str">
        <f t="shared" si="37"/>
        <v>BE 139</v>
      </c>
      <c r="EM17" s="95" t="str">
        <f t="shared" si="37"/>
        <v>BE 140</v>
      </c>
      <c r="EN17" s="95" t="str">
        <f t="shared" si="37"/>
        <v>BE 141</v>
      </c>
      <c r="EO17" s="95" t="str">
        <f t="shared" si="37"/>
        <v>BE 142</v>
      </c>
      <c r="EP17" s="95" t="str">
        <f t="shared" si="37"/>
        <v>BE 143</v>
      </c>
      <c r="EQ17" s="95" t="str">
        <f t="shared" si="37"/>
        <v>BE 144</v>
      </c>
      <c r="ER17" s="95" t="str">
        <f t="shared" si="37"/>
        <v>BE 145</v>
      </c>
      <c r="ES17" s="95" t="str">
        <f t="shared" si="37"/>
        <v>BE 146</v>
      </c>
      <c r="ET17" s="95" t="str">
        <f t="shared" si="37"/>
        <v>BE 147</v>
      </c>
      <c r="EU17" s="95" t="str">
        <f t="shared" si="37"/>
        <v>BE 148</v>
      </c>
      <c r="EV17" s="95" t="str">
        <f t="shared" si="37"/>
        <v>BE 149</v>
      </c>
      <c r="EW17" s="95" t="str">
        <f t="shared" si="37"/>
        <v>BE 150</v>
      </c>
      <c r="EX17" s="95" t="str">
        <f t="shared" si="37"/>
        <v>BE 151</v>
      </c>
      <c r="EY17" s="95" t="str">
        <f t="shared" si="37"/>
        <v>BE 152</v>
      </c>
      <c r="EZ17" s="95" t="str">
        <f t="shared" si="37"/>
        <v>BE 153</v>
      </c>
      <c r="FA17" s="95" t="str">
        <f t="shared" si="37"/>
        <v>BE 154</v>
      </c>
      <c r="FB17" s="95" t="str">
        <f t="shared" si="37"/>
        <v>BE 155</v>
      </c>
      <c r="FC17" s="95" t="str">
        <f t="shared" si="37"/>
        <v>BE 156</v>
      </c>
      <c r="FD17" s="95" t="str">
        <f t="shared" si="37"/>
        <v>BE 157</v>
      </c>
      <c r="FE17" s="95" t="str">
        <f t="shared" si="37"/>
        <v>BE 158</v>
      </c>
      <c r="FF17" s="95" t="str">
        <f t="shared" si="37"/>
        <v>BE 159</v>
      </c>
      <c r="FG17" s="95" t="str">
        <f t="shared" si="37"/>
        <v>BE 160</v>
      </c>
      <c r="FH17" s="95" t="str">
        <f t="shared" si="37"/>
        <v>BE 161</v>
      </c>
      <c r="FI17" s="95" t="str">
        <f t="shared" si="37"/>
        <v>BE 162</v>
      </c>
      <c r="FJ17" s="95" t="str">
        <f t="shared" si="37"/>
        <v>BE 163</v>
      </c>
      <c r="FK17" s="95" t="str">
        <f t="shared" si="37"/>
        <v>BE 164</v>
      </c>
      <c r="FL17" s="95" t="str">
        <f t="shared" si="37"/>
        <v>BE 165</v>
      </c>
      <c r="FM17" s="95" t="str">
        <f t="shared" si="37"/>
        <v>BE 166</v>
      </c>
      <c r="FN17" s="95" t="str">
        <f t="shared" si="37"/>
        <v>BE 167</v>
      </c>
      <c r="FO17" s="95" t="str">
        <f t="shared" si="37"/>
        <v>BE 168</v>
      </c>
      <c r="FP17" s="95" t="str">
        <f t="shared" si="37"/>
        <v>BE 169</v>
      </c>
      <c r="FQ17" s="95" t="str">
        <f t="shared" si="37"/>
        <v>BE 170</v>
      </c>
      <c r="FR17" s="95" t="str">
        <f t="shared" si="37"/>
        <v>BE 171</v>
      </c>
      <c r="FS17" s="95" t="str">
        <f t="shared" si="37"/>
        <v>BE 172</v>
      </c>
      <c r="FT17" s="95" t="str">
        <f t="shared" si="37"/>
        <v>BE 173</v>
      </c>
      <c r="FU17" s="95" t="str">
        <f t="shared" si="37"/>
        <v>BE 174</v>
      </c>
      <c r="FV17" s="95" t="str">
        <f t="shared" si="37"/>
        <v>BE 175</v>
      </c>
      <c r="FW17" s="95" t="str">
        <f t="shared" si="37"/>
        <v>BE 176</v>
      </c>
      <c r="FX17" s="95" t="str">
        <f t="shared" si="37"/>
        <v>BE 177</v>
      </c>
      <c r="FY17" s="95" t="str">
        <f t="shared" si="37"/>
        <v>BE 178</v>
      </c>
      <c r="FZ17" s="95" t="str">
        <f t="shared" si="37"/>
        <v>BE 179</v>
      </c>
      <c r="GA17" s="95" t="str">
        <f t="shared" si="37"/>
        <v>BE 180</v>
      </c>
      <c r="GB17" s="96"/>
    </row>
    <row r="18" spans="1:184" ht="16.5" customHeight="1">
      <c r="A18" s="1"/>
      <c r="B18" s="65"/>
      <c r="C18" s="101" t="str">
        <f>IFERROR(IF(SUM($C$15:C15)&gt;0,C$4,""),"")</f>
        <v/>
      </c>
      <c r="D18" s="102" t="str">
        <f>IFERROR(IF(SUM($C$15:D15)&gt;0,D$4,""),"")</f>
        <v/>
      </c>
      <c r="E18" s="102" t="str">
        <f>IFERROR(IF(SUM($C$15:E15)&gt;0,E$4,""),"")</f>
        <v/>
      </c>
      <c r="F18" s="102" t="str">
        <f>IFERROR(IF(SUM($C$15:F15)&gt;0,F$4,""),"")</f>
        <v/>
      </c>
      <c r="G18" s="102" t="str">
        <f>IFERROR(IF(SUM($C$15:G15)&gt;0,G$4,""),"")</f>
        <v/>
      </c>
      <c r="H18" s="102" t="str">
        <f>IFERROR(IF(SUM($C$15:H15)&gt;0,H$4,""),"")</f>
        <v/>
      </c>
      <c r="I18" s="102" t="str">
        <f>IFERROR(IF(SUM($C$15:I15)&gt;0,I$4,""),"")</f>
        <v/>
      </c>
      <c r="J18" s="102" t="str">
        <f>IFERROR(IF(SUM($C$15:J15)&gt;0,J$4,""),"")</f>
        <v/>
      </c>
      <c r="K18" s="102" t="str">
        <f>IFERROR(IF(SUM($C$15:K15)&gt;0,K$4,""),"")</f>
        <v/>
      </c>
      <c r="L18" s="102" t="str">
        <f>IFERROR(IF(SUM($C$15:L15)&gt;0,L$4,""),"")</f>
        <v/>
      </c>
      <c r="M18" s="102" t="str">
        <f>IFERROR(IF(SUM($C$15:M15)&gt;0,M$4,""),"")</f>
        <v/>
      </c>
      <c r="N18" s="102" t="str">
        <f>IFERROR(IF(SUM($C$15:N15)&gt;0,N$4,""),"")</f>
        <v/>
      </c>
      <c r="O18" s="102" t="str">
        <f>IFERROR(IF(SUM($C$15:O15)&gt;0,O$4,""),"")</f>
        <v/>
      </c>
      <c r="P18" s="102" t="str">
        <f>IFERROR(IF(SUM($C$15:P15)&gt;0,P$4,""),"")</f>
        <v/>
      </c>
      <c r="Q18" s="102" t="str">
        <f>IFERROR(IF(SUM($C$15:Q15)&gt;0,Q$4,""),"")</f>
        <v/>
      </c>
      <c r="R18" s="102" t="str">
        <f>IFERROR(IF(SUM($C$15:R15)&gt;0,R$4,""),"")</f>
        <v/>
      </c>
      <c r="S18" s="102" t="str">
        <f>IFERROR(IF(SUM($C$15:S15)&gt;0,S$4,""),"")</f>
        <v/>
      </c>
      <c r="T18" s="102" t="str">
        <f>IFERROR(IF(SUM($C$15:T15)&gt;0,T$4,""),"")</f>
        <v/>
      </c>
      <c r="U18" s="102" t="str">
        <f>IFERROR(IF(SUM($C$15:U15)&gt;0,U$4,""),"")</f>
        <v/>
      </c>
      <c r="V18" s="102" t="str">
        <f>IFERROR(IF(SUM($C$15:V15)&gt;0,V$4,""),"")</f>
        <v/>
      </c>
      <c r="W18" s="102" t="str">
        <f>IFERROR(IF(SUM($C$15:W15)&gt;0,W$4,""),"")</f>
        <v/>
      </c>
      <c r="X18" s="102" t="str">
        <f>IFERROR(IF(SUM($C$15:X15)&gt;0,X$4,""),"")</f>
        <v/>
      </c>
      <c r="Y18" s="102" t="str">
        <f>IFERROR(IF(SUM($C$15:Y15)&gt;0,Y$4,""),"")</f>
        <v/>
      </c>
      <c r="Z18" s="102" t="str">
        <f>IFERROR(IF(SUM($C$15:Z15)&gt;0,Z$4,""),"")</f>
        <v/>
      </c>
      <c r="AA18" s="102" t="str">
        <f>IFERROR(IF(SUM($C$15:AA15)&gt;0,AA$4,""),"")</f>
        <v/>
      </c>
      <c r="AB18" s="102" t="str">
        <f>IFERROR(IF(SUM($C$15:AB15)&gt;0,AB$4,""),"")</f>
        <v/>
      </c>
      <c r="AC18" s="102" t="str">
        <f>IFERROR(IF(SUM($C$15:AC15)&gt;0,AC$4,""),"")</f>
        <v/>
      </c>
      <c r="AD18" s="102" t="str">
        <f>IFERROR(IF(SUM($C$15:AD15)&gt;0,AD$4,""),"")</f>
        <v/>
      </c>
      <c r="AE18" s="102" t="str">
        <f>IFERROR(IF(SUM($C$15:AE15)&gt;0,AE$4,""),"")</f>
        <v/>
      </c>
      <c r="AF18" s="102" t="str">
        <f>IFERROR(IF(SUM($C$15:AF15)&gt;0,AF$4,""),"")</f>
        <v/>
      </c>
      <c r="AG18" s="102" t="str">
        <f>IFERROR(IF(SUM($C$15:AG15)&gt;0,AG$4,""),"")</f>
        <v/>
      </c>
      <c r="AH18" s="102" t="str">
        <f>IFERROR(IF(SUM($C$15:AH15)&gt;0,AH$4,""),"")</f>
        <v/>
      </c>
      <c r="AI18" s="102" t="str">
        <f>IFERROR(IF(SUM($C$15:AI15)&gt;0,AI$4,""),"")</f>
        <v/>
      </c>
      <c r="AJ18" s="102" t="str">
        <f>IFERROR(IF(SUM($C$15:AJ15)&gt;0,AJ$4,""),"")</f>
        <v/>
      </c>
      <c r="AK18" s="102" t="str">
        <f>IFERROR(IF(SUM($C$15:AK15)&gt;0,AK$4,""),"")</f>
        <v/>
      </c>
      <c r="AL18" s="102" t="str">
        <f>IFERROR(IF(SUM($C$15:AL15)&gt;0,AL$4,""),"")</f>
        <v/>
      </c>
      <c r="AM18" s="102" t="str">
        <f>IFERROR(IF(SUM($C$15:AM15)&gt;0,AM$4,""),"")</f>
        <v/>
      </c>
      <c r="AN18" s="102" t="str">
        <f>IFERROR(IF(SUM($C$15:AN15)&gt;0,AN$4,""),"")</f>
        <v/>
      </c>
      <c r="AO18" s="102" t="str">
        <f>IFERROR(IF(SUM($C$15:AO15)&gt;0,AO$4,""),"")</f>
        <v/>
      </c>
      <c r="AP18" s="102" t="str">
        <f>IFERROR(IF(SUM($C$15:AP15)&gt;0,AP$4,""),"")</f>
        <v/>
      </c>
      <c r="AQ18" s="102" t="str">
        <f>IFERROR(IF(SUM($C$15:AQ15)&gt;0,AQ$4,""),"")</f>
        <v/>
      </c>
      <c r="AR18" s="102" t="str">
        <f>IFERROR(IF(SUM($C$15:AR15)&gt;0,AR$4,""),"")</f>
        <v/>
      </c>
      <c r="AS18" s="102" t="str">
        <f>IFERROR(IF(SUM($C$15:AS15)&gt;0,AS$4,""),"")</f>
        <v/>
      </c>
      <c r="AT18" s="102" t="str">
        <f>IFERROR(IF(SUM($C$15:AT15)&gt;0,AT$4,""),"")</f>
        <v/>
      </c>
      <c r="AU18" s="102" t="str">
        <f>IFERROR(IF(SUM($C$15:AU15)&gt;0,AU$4,""),"")</f>
        <v/>
      </c>
      <c r="AV18" s="102" t="str">
        <f>IFERROR(IF(SUM($C$15:AV15)&gt;0,AV$4,""),"")</f>
        <v/>
      </c>
      <c r="AW18" s="102" t="str">
        <f>IFERROR(IF(SUM($C$15:AW15)&gt;0,AW$4,""),"")</f>
        <v/>
      </c>
      <c r="AX18" s="102" t="str">
        <f>IFERROR(IF(SUM($C$15:AX15)&gt;0,AX$4,""),"")</f>
        <v/>
      </c>
      <c r="AY18" s="102" t="str">
        <f>IFERROR(IF(SUM($C$15:AY15)&gt;0,AY$4,""),"")</f>
        <v/>
      </c>
      <c r="AZ18" s="102" t="str">
        <f>IFERROR(IF(SUM($C$15:AZ15)&gt;0,AZ$4,""),"")</f>
        <v/>
      </c>
      <c r="BA18" s="102" t="str">
        <f>IFERROR(IF(SUM($C$15:BA15)&gt;0,BA$4,""),"")</f>
        <v/>
      </c>
      <c r="BB18" s="102" t="str">
        <f>IFERROR(IF(SUM($C$15:BB15)&gt;0,BB$4,""),"")</f>
        <v/>
      </c>
      <c r="BC18" s="102" t="str">
        <f>IFERROR(IF(SUM($C$15:BC15)&gt;0,BC$4,""),"")</f>
        <v/>
      </c>
      <c r="BD18" s="102" t="str">
        <f>IFERROR(IF(SUM($C$15:BD15)&gt;0,BD$4,""),"")</f>
        <v/>
      </c>
      <c r="BE18" s="102" t="str">
        <f>IFERROR(IF(SUM($C$15:BE15)&gt;0,BE$4,""),"")</f>
        <v/>
      </c>
      <c r="BF18" s="102" t="str">
        <f>IFERROR(IF(SUM($C$15:BF15)&gt;0,BF$4,""),"")</f>
        <v/>
      </c>
      <c r="BG18" s="102" t="str">
        <f>IFERROR(IF(SUM($C$15:BG15)&gt;0,BG$4,""),"")</f>
        <v/>
      </c>
      <c r="BH18" s="102" t="str">
        <f>IFERROR(IF(SUM($C$15:BH15)&gt;0,BH$4,""),"")</f>
        <v/>
      </c>
      <c r="BI18" s="102" t="str">
        <f>IFERROR(IF(SUM($C$15:BI15)&gt;0,BI$4,""),"")</f>
        <v/>
      </c>
      <c r="BJ18" s="102" t="str">
        <f>IFERROR(IF(SUM($C$15:BJ15)&gt;0,BJ$4,""),"")</f>
        <v/>
      </c>
      <c r="BK18" s="102" t="str">
        <f>IFERROR(IF(SUM($C$15:BK15)&gt;0,BK$4,""),"")</f>
        <v/>
      </c>
      <c r="BL18" s="102" t="str">
        <f>IFERROR(IF(SUM($C$15:BL15)&gt;0,BL$4,""),"")</f>
        <v/>
      </c>
      <c r="BM18" s="102" t="str">
        <f>IFERROR(IF(SUM($C$15:BM15)&gt;0,BM$4,""),"")</f>
        <v/>
      </c>
      <c r="BN18" s="102" t="str">
        <f>IFERROR(IF(SUM($C$15:BN15)&gt;0,BN$4,""),"")</f>
        <v/>
      </c>
      <c r="BO18" s="102" t="str">
        <f>IFERROR(IF(SUM($C$15:BO15)&gt;0,BO$4,""),"")</f>
        <v/>
      </c>
      <c r="BP18" s="102" t="str">
        <f>IFERROR(IF(SUM($C$15:BP15)&gt;0,BP$4,""),"")</f>
        <v/>
      </c>
      <c r="BQ18" s="102" t="str">
        <f>IFERROR(IF(SUM($C$15:BQ15)&gt;0,BQ$4,""),"")</f>
        <v/>
      </c>
      <c r="BR18" s="102" t="str">
        <f>IFERROR(IF(SUM($C$15:BR15)&gt;0,BR$4,""),"")</f>
        <v/>
      </c>
      <c r="BS18" s="102" t="str">
        <f>IFERROR(IF(SUM($C$15:BS15)&gt;0,BS$4,""),"")</f>
        <v/>
      </c>
      <c r="BT18" s="102" t="str">
        <f>IFERROR(IF(SUM($C$15:BT15)&gt;0,BT$4,""),"")</f>
        <v/>
      </c>
      <c r="BU18" s="102" t="str">
        <f>IFERROR(IF(SUM($C$15:BU15)&gt;0,BU$4,""),"")</f>
        <v/>
      </c>
      <c r="BV18" s="102" t="str">
        <f>IFERROR(IF(SUM($C$15:BV15)&gt;0,BV$4,""),"")</f>
        <v/>
      </c>
      <c r="BW18" s="102" t="str">
        <f>IFERROR(IF(SUM($C$15:BW15)&gt;0,BW$4,""),"")</f>
        <v/>
      </c>
      <c r="BX18" s="102" t="str">
        <f>IFERROR(IF(SUM($C$15:BX15)&gt;0,BX$4,""),"")</f>
        <v/>
      </c>
      <c r="BY18" s="102" t="str">
        <f>IFERROR(IF(SUM($C$15:BY15)&gt;0,BY$4,""),"")</f>
        <v/>
      </c>
      <c r="BZ18" s="102" t="str">
        <f>IFERROR(IF(SUM($C$15:BZ15)&gt;0,BZ$4,""),"")</f>
        <v/>
      </c>
      <c r="CA18" s="102" t="str">
        <f>IFERROR(IF(SUM($C$15:CA15)&gt;0,CA$4,""),"")</f>
        <v/>
      </c>
      <c r="CB18" s="102" t="str">
        <f>IFERROR(IF(SUM($C$15:CB15)&gt;0,CB$4,""),"")</f>
        <v/>
      </c>
      <c r="CC18" s="102" t="str">
        <f>IFERROR(IF(SUM($C$15:CC15)&gt;0,CC$4,""),"")</f>
        <v/>
      </c>
      <c r="CD18" s="102" t="str">
        <f>IFERROR(IF(SUM($C$15:CD15)&gt;0,CD$4,""),"")</f>
        <v/>
      </c>
      <c r="CE18" s="102" t="str">
        <f>IFERROR(IF(SUM($C$15:CE15)&gt;0,CE$4,""),"")</f>
        <v/>
      </c>
      <c r="CF18" s="102" t="str">
        <f>IFERROR(IF(SUM($C$15:CF15)&gt;0,CF$4,""),"")</f>
        <v/>
      </c>
      <c r="CG18" s="102" t="str">
        <f>IFERROR(IF(SUM($C$15:CG15)&gt;0,CG$4,""),"")</f>
        <v/>
      </c>
      <c r="CH18" s="102" t="str">
        <f>IFERROR(IF(SUM($C$15:CH15)&gt;0,CH$4,""),"")</f>
        <v/>
      </c>
      <c r="CI18" s="102" t="str">
        <f>IFERROR(IF(SUM($C$15:CI15)&gt;0,CI$4,""),"")</f>
        <v/>
      </c>
      <c r="CJ18" s="102" t="str">
        <f>IFERROR(IF(SUM($C$15:CJ15)&gt;0,CJ$4,""),"")</f>
        <v/>
      </c>
      <c r="CK18" s="102" t="str">
        <f>IFERROR(IF(SUM($C$15:CK15)&gt;0,CK$4,""),"")</f>
        <v/>
      </c>
      <c r="CL18" s="102" t="str">
        <f>IFERROR(IF(SUM($C$15:CL15)&gt;0,CL$4,""),"")</f>
        <v/>
      </c>
      <c r="CM18" s="102" t="str">
        <f>IFERROR(IF(SUM($C$15:CM15)&gt;0,CM$4,""),"")</f>
        <v/>
      </c>
      <c r="CN18" s="102" t="str">
        <f>IFERROR(IF(SUM($C$15:CN15)&gt;0,CN$4,""),"")</f>
        <v/>
      </c>
      <c r="CO18" s="102" t="str">
        <f>IFERROR(IF(SUM($C$15:CO15)&gt;0,CO$4,""),"")</f>
        <v/>
      </c>
      <c r="CP18" s="102" t="str">
        <f>IFERROR(IF(SUM($C$15:CP15)&gt;0,CP$4,""),"")</f>
        <v/>
      </c>
      <c r="CQ18" s="102" t="str">
        <f>IFERROR(IF(SUM($C$15:CQ15)&gt;0,CQ$4,""),"")</f>
        <v/>
      </c>
      <c r="CR18" s="102" t="str">
        <f>IFERROR(IF(SUM($C$15:CR15)&gt;0,CR$4,""),"")</f>
        <v/>
      </c>
      <c r="CS18" s="102" t="str">
        <f>IFERROR(IF(SUM($C$15:CS15)&gt;0,CS$4,""),"")</f>
        <v/>
      </c>
      <c r="CT18" s="102" t="str">
        <f>IFERROR(IF(SUM($C$15:CT15)&gt;0,CT$4,""),"")</f>
        <v/>
      </c>
      <c r="CU18" s="102" t="str">
        <f>IFERROR(IF(SUM($C$15:CU15)&gt;0,CU$4,""),"")</f>
        <v/>
      </c>
      <c r="CV18" s="102" t="str">
        <f>IFERROR(IF(SUM($C$15:CV15)&gt;0,CV$4,""),"")</f>
        <v/>
      </c>
      <c r="CW18" s="102" t="str">
        <f>IFERROR(IF(SUM($C$15:CW15)&gt;0,CW$4,""),"")</f>
        <v/>
      </c>
      <c r="CX18" s="102" t="str">
        <f>IFERROR(IF(SUM($C$15:CX15)&gt;0,CX$4,""),"")</f>
        <v/>
      </c>
      <c r="CY18" s="102" t="str">
        <f>IFERROR(IF(SUM($C$15:CY15)&gt;0,CY$4,""),"")</f>
        <v/>
      </c>
      <c r="CZ18" s="102" t="str">
        <f>IFERROR(IF(SUM($C$15:CZ15)&gt;0,CZ$4,""),"")</f>
        <v/>
      </c>
      <c r="DA18" s="102" t="str">
        <f>IFERROR(IF(SUM($C$15:DA15)&gt;0,DA$4,""),"")</f>
        <v/>
      </c>
      <c r="DB18" s="102" t="str">
        <f>IFERROR(IF(SUM($C$15:DB15)&gt;0,DB$4,""),"")</f>
        <v/>
      </c>
      <c r="DC18" s="102" t="str">
        <f>IFERROR(IF(SUM($C$15:DC15)&gt;0,DC$4,""),"")</f>
        <v/>
      </c>
      <c r="DD18" s="102" t="str">
        <f>IFERROR(IF(SUM($C$15:DD15)&gt;0,DD$4,""),"")</f>
        <v/>
      </c>
      <c r="DE18" s="102" t="str">
        <f>IFERROR(IF(SUM($C$15:DE15)&gt;0,DE$4,""),"")</f>
        <v/>
      </c>
      <c r="DF18" s="102" t="str">
        <f>IFERROR(IF(SUM($C$15:DF15)&gt;0,DF$4,""),"")</f>
        <v/>
      </c>
      <c r="DG18" s="102" t="str">
        <f>IFERROR(IF(SUM($C$15:DG15)&gt;0,DG$4,""),"")</f>
        <v/>
      </c>
      <c r="DH18" s="102" t="str">
        <f>IFERROR(IF(SUM($C$15:DH15)&gt;0,DH$4,""),"")</f>
        <v/>
      </c>
      <c r="DI18" s="102" t="str">
        <f>IFERROR(IF(SUM($C$15:DI15)&gt;0,DI$4,""),"")</f>
        <v/>
      </c>
      <c r="DJ18" s="102" t="str">
        <f>IFERROR(IF(SUM($C$15:DJ15)&gt;0,DJ$4,""),"")</f>
        <v/>
      </c>
      <c r="DK18" s="102" t="str">
        <f>IFERROR(IF(SUM($C$15:DK15)&gt;0,DK$4,""),"")</f>
        <v/>
      </c>
      <c r="DL18" s="102" t="str">
        <f>IFERROR(IF(SUM($C$15:DL15)&gt;0,DL$4,""),"")</f>
        <v/>
      </c>
      <c r="DM18" s="102" t="str">
        <f>IFERROR(IF(SUM($C$15:DM15)&gt;0,DM$4,""),"")</f>
        <v/>
      </c>
      <c r="DN18" s="102" t="str">
        <f>IFERROR(IF(SUM($C$15:DN15)&gt;0,DN$4,""),"")</f>
        <v/>
      </c>
      <c r="DO18" s="102" t="str">
        <f>IFERROR(IF(SUM($C$15:DO15)&gt;0,DO$4,""),"")</f>
        <v/>
      </c>
      <c r="DP18" s="102" t="str">
        <f>IFERROR(IF(SUM($C$15:DP15)&gt;0,DP$4,""),"")</f>
        <v/>
      </c>
      <c r="DQ18" s="102" t="str">
        <f>IFERROR(IF(SUM($C$15:DQ15)&gt;0,DQ$4,""),"")</f>
        <v/>
      </c>
      <c r="DR18" s="102" t="str">
        <f>IFERROR(IF(SUM($C$15:DR15)&gt;0,DR$4,""),"")</f>
        <v/>
      </c>
      <c r="DS18" s="102" t="str">
        <f>IFERROR(IF(SUM($C$15:DS15)&gt;0,DS$4,""),"")</f>
        <v/>
      </c>
      <c r="DT18" s="102" t="str">
        <f>IFERROR(IF(SUM($C$15:DT15)&gt;0,DT$4,""),"")</f>
        <v/>
      </c>
      <c r="DU18" s="102" t="str">
        <f>IFERROR(IF(SUM($C$15:DU15)&gt;0,DU$4,""),"")</f>
        <v/>
      </c>
      <c r="DV18" s="102" t="str">
        <f>IFERROR(IF(SUM($C$15:DV15)&gt;0,DV$4,""),"")</f>
        <v/>
      </c>
      <c r="DW18" s="102" t="str">
        <f>IFERROR(IF(SUM($C$15:DW15)&gt;0,DW$4,""),"")</f>
        <v/>
      </c>
      <c r="DX18" s="102" t="str">
        <f>IFERROR(IF(SUM($C$15:DX15)&gt;0,DX$4,""),"")</f>
        <v/>
      </c>
      <c r="DY18" s="102" t="str">
        <f>IFERROR(IF(SUM($C$15:DY15)&gt;0,DY$4,""),"")</f>
        <v/>
      </c>
      <c r="DZ18" s="102" t="str">
        <f>IFERROR(IF(SUM($C$15:DZ15)&gt;0,DZ$4,""),"")</f>
        <v/>
      </c>
      <c r="EA18" s="102" t="str">
        <f>IFERROR(IF(SUM($C$15:EA15)&gt;0,EA$4,""),"")</f>
        <v/>
      </c>
      <c r="EB18" s="102" t="str">
        <f>IFERROR(IF(SUM($C$15:EB15)&gt;0,EB$4,""),"")</f>
        <v/>
      </c>
      <c r="EC18" s="102" t="str">
        <f>IFERROR(IF(SUM($C$15:EC15)&gt;0,EC$4,""),"")</f>
        <v/>
      </c>
      <c r="ED18" s="102" t="str">
        <f>IFERROR(IF(SUM($C$15:ED15)&gt;0,ED$4,""),"")</f>
        <v/>
      </c>
      <c r="EE18" s="102" t="str">
        <f>IFERROR(IF(SUM($C$15:EE15)&gt;0,EE$4,""),"")</f>
        <v/>
      </c>
      <c r="EF18" s="102" t="str">
        <f>IFERROR(IF(SUM($C$15:EF15)&gt;0,EF$4,""),"")</f>
        <v/>
      </c>
      <c r="EG18" s="102" t="str">
        <f>IFERROR(IF(SUM($C$15:EG15)&gt;0,EG$4,""),"")</f>
        <v/>
      </c>
      <c r="EH18" s="102" t="str">
        <f>IFERROR(IF(SUM($C$15:EH15)&gt;0,EH$4,""),"")</f>
        <v/>
      </c>
      <c r="EI18" s="102" t="str">
        <f>IFERROR(IF(SUM($C$15:EI15)&gt;0,EI$4,""),"")</f>
        <v/>
      </c>
      <c r="EJ18" s="102" t="str">
        <f>IFERROR(IF(SUM($C$15:EJ15)&gt;0,EJ$4,""),"")</f>
        <v/>
      </c>
      <c r="EK18" s="102" t="str">
        <f>IFERROR(IF(SUM($C$15:EK15)&gt;0,EK$4,""),"")</f>
        <v/>
      </c>
      <c r="EL18" s="102" t="str">
        <f>IFERROR(IF(SUM($C$15:EL15)&gt;0,EL$4,""),"")</f>
        <v/>
      </c>
      <c r="EM18" s="102" t="str">
        <f>IFERROR(IF(SUM($C$15:EM15)&gt;0,EM$4,""),"")</f>
        <v/>
      </c>
      <c r="EN18" s="102" t="str">
        <f>IFERROR(IF(SUM($C$15:EN15)&gt;0,EN$4,""),"")</f>
        <v/>
      </c>
      <c r="EO18" s="102" t="str">
        <f>IFERROR(IF(SUM($C$15:EO15)&gt;0,EO$4,""),"")</f>
        <v/>
      </c>
      <c r="EP18" s="102" t="str">
        <f>IFERROR(IF(SUM($C$15:EP15)&gt;0,EP$4,""),"")</f>
        <v/>
      </c>
      <c r="EQ18" s="102" t="str">
        <f>IFERROR(IF(SUM($C$15:EQ15)&gt;0,EQ$4,""),"")</f>
        <v/>
      </c>
      <c r="ER18" s="102" t="str">
        <f>IFERROR(IF(SUM($C$15:ER15)&gt;0,ER$4,""),"")</f>
        <v/>
      </c>
      <c r="ES18" s="102" t="str">
        <f>IFERROR(IF(SUM($C$15:ES15)&gt;0,ES$4,""),"")</f>
        <v/>
      </c>
      <c r="ET18" s="102" t="str">
        <f>IFERROR(IF(SUM($C$15:ET15)&gt;0,ET$4,""),"")</f>
        <v/>
      </c>
      <c r="EU18" s="102" t="str">
        <f>IFERROR(IF(SUM($C$15:EU15)&gt;0,EU$4,""),"")</f>
        <v/>
      </c>
      <c r="EV18" s="102" t="str">
        <f>IFERROR(IF(SUM($C$15:EV15)&gt;0,EV$4,""),"")</f>
        <v/>
      </c>
      <c r="EW18" s="102" t="str">
        <f>IFERROR(IF(SUM($C$15:EW15)&gt;0,EW$4,""),"")</f>
        <v/>
      </c>
      <c r="EX18" s="102" t="str">
        <f>IFERROR(IF(SUM($C$15:EX15)&gt;0,EX$4,""),"")</f>
        <v/>
      </c>
      <c r="EY18" s="102" t="str">
        <f>IFERROR(IF(SUM($C$15:EY15)&gt;0,EY$4,""),"")</f>
        <v/>
      </c>
      <c r="EZ18" s="102" t="str">
        <f>IFERROR(IF(SUM($C$15:EZ15)&gt;0,EZ$4,""),"")</f>
        <v/>
      </c>
      <c r="FA18" s="102" t="str">
        <f>IFERROR(IF(SUM($C$15:FA15)&gt;0,FA$4,""),"")</f>
        <v/>
      </c>
      <c r="FB18" s="102" t="str">
        <f>IFERROR(IF(SUM($C$15:FB15)&gt;0,FB$4,""),"")</f>
        <v/>
      </c>
      <c r="FC18" s="102" t="str">
        <f>IFERROR(IF(SUM($C$15:FC15)&gt;0,FC$4,""),"")</f>
        <v/>
      </c>
      <c r="FD18" s="102" t="str">
        <f>IFERROR(IF(SUM($C$15:FD15)&gt;0,FD$4,""),"")</f>
        <v/>
      </c>
      <c r="FE18" s="102" t="str">
        <f>IFERROR(IF(SUM($C$15:FE15)&gt;0,FE$4,""),"")</f>
        <v/>
      </c>
      <c r="FF18" s="102" t="str">
        <f>IFERROR(IF(SUM($C$15:FF15)&gt;0,FF$4,""),"")</f>
        <v/>
      </c>
      <c r="FG18" s="102" t="str">
        <f>IFERROR(IF(SUM($C$15:FG15)&gt;0,FG$4,""),"")</f>
        <v/>
      </c>
      <c r="FH18" s="102" t="str">
        <f>IFERROR(IF(SUM($C$15:FH15)&gt;0,FH$4,""),"")</f>
        <v/>
      </c>
      <c r="FI18" s="102" t="str">
        <f>IFERROR(IF(SUM($C$15:FI15)&gt;0,FI$4,""),"")</f>
        <v/>
      </c>
      <c r="FJ18" s="102" t="str">
        <f>IFERROR(IF(SUM($C$15:FJ15)&gt;0,FJ$4,""),"")</f>
        <v/>
      </c>
      <c r="FK18" s="102" t="str">
        <f>IFERROR(IF(SUM($C$15:FK15)&gt;0,FK$4,""),"")</f>
        <v/>
      </c>
      <c r="FL18" s="102" t="str">
        <f>IFERROR(IF(SUM($C$15:FL15)&gt;0,FL$4,""),"")</f>
        <v/>
      </c>
      <c r="FM18" s="102" t="str">
        <f>IFERROR(IF(SUM($C$15:FM15)&gt;0,FM$4,""),"")</f>
        <v/>
      </c>
      <c r="FN18" s="102" t="str">
        <f>IFERROR(IF(SUM($C$15:FN15)&gt;0,FN$4,""),"")</f>
        <v/>
      </c>
      <c r="FO18" s="102" t="str">
        <f>IFERROR(IF(SUM($C$15:FO15)&gt;0,FO$4,""),"")</f>
        <v/>
      </c>
      <c r="FP18" s="102" t="str">
        <f>IFERROR(IF(SUM($C$15:FP15)&gt;0,FP$4,""),"")</f>
        <v/>
      </c>
      <c r="FQ18" s="102" t="str">
        <f>IFERROR(IF(SUM($C$15:FQ15)&gt;0,FQ$4,""),"")</f>
        <v/>
      </c>
      <c r="FR18" s="102" t="str">
        <f>IFERROR(IF(SUM($C$15:FR15)&gt;0,FR$4,""),"")</f>
        <v/>
      </c>
      <c r="FS18" s="102" t="str">
        <f>IFERROR(IF(SUM($C$15:FS15)&gt;0,FS$4,""),"")</f>
        <v/>
      </c>
      <c r="FT18" s="102" t="str">
        <f>IFERROR(IF(SUM($C$15:FT15)&gt;0,FT$4,""),"")</f>
        <v/>
      </c>
      <c r="FU18" s="102" t="str">
        <f>IFERROR(IF(SUM($C$15:FU15)&gt;0,FU$4,""),"")</f>
        <v/>
      </c>
      <c r="FV18" s="102" t="str">
        <f>IFERROR(IF(SUM($C$15:FV15)&gt;0,FV$4,""),"")</f>
        <v/>
      </c>
      <c r="FW18" s="102" t="str">
        <f>IFERROR(IF(SUM($C$15:FW15)&gt;0,FW$4,""),"")</f>
        <v/>
      </c>
      <c r="FX18" s="102" t="str">
        <f>IFERROR(IF(SUM($C$15:FX15)&gt;0,FX$4,""),"")</f>
        <v/>
      </c>
      <c r="FY18" s="102" t="str">
        <f>IFERROR(IF(SUM($C$15:FY15)&gt;0,FY$4,""),"")</f>
        <v/>
      </c>
      <c r="FZ18" s="102" t="str">
        <f>IFERROR(IF(SUM($C$15:FZ15)&gt;0,FZ$4,""),"")</f>
        <v/>
      </c>
      <c r="GA18" s="102" t="str">
        <f>IFERROR(IF(SUM($C$15:GA15)&gt;0,GA$4,""),"")</f>
        <v/>
      </c>
      <c r="GB18" s="103"/>
    </row>
    <row r="19" spans="1:184" ht="6.75" customHeight="1">
      <c r="A19" s="1"/>
      <c r="B19" s="65"/>
      <c r="C19" s="65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66"/>
    </row>
    <row r="20" spans="1:184" s="11" customFormat="1" ht="33" customHeight="1">
      <c r="B20" s="93"/>
      <c r="C20" s="94" t="str">
        <f>"SMB Pen "&amp;C$4</f>
        <v>SMB Pen 0</v>
      </c>
      <c r="D20" s="95" t="str">
        <f t="shared" ref="D20:AM20" si="38">"SMB Pen "&amp;D$4</f>
        <v>SMB Pen 1</v>
      </c>
      <c r="E20" s="95" t="str">
        <f t="shared" si="38"/>
        <v>SMB Pen 2</v>
      </c>
      <c r="F20" s="95" t="str">
        <f t="shared" si="38"/>
        <v>SMB Pen 3</v>
      </c>
      <c r="G20" s="95" t="str">
        <f t="shared" si="38"/>
        <v>SMB Pen 4</v>
      </c>
      <c r="H20" s="95" t="str">
        <f t="shared" si="38"/>
        <v>SMB Pen 5</v>
      </c>
      <c r="I20" s="95" t="str">
        <f t="shared" si="38"/>
        <v>SMB Pen 6</v>
      </c>
      <c r="J20" s="95" t="str">
        <f t="shared" si="38"/>
        <v>SMB Pen 7</v>
      </c>
      <c r="K20" s="95" t="str">
        <f t="shared" si="38"/>
        <v>SMB Pen 8</v>
      </c>
      <c r="L20" s="95" t="str">
        <f t="shared" si="38"/>
        <v>SMB Pen 9</v>
      </c>
      <c r="M20" s="95" t="str">
        <f t="shared" si="38"/>
        <v>SMB Pen 10</v>
      </c>
      <c r="N20" s="95" t="str">
        <f t="shared" si="38"/>
        <v>SMB Pen 11</v>
      </c>
      <c r="O20" s="95" t="str">
        <f t="shared" si="38"/>
        <v>SMB Pen 12</v>
      </c>
      <c r="P20" s="95" t="str">
        <f t="shared" si="38"/>
        <v>SMB Pen 13</v>
      </c>
      <c r="Q20" s="95" t="str">
        <f t="shared" si="38"/>
        <v>SMB Pen 14</v>
      </c>
      <c r="R20" s="95" t="str">
        <f t="shared" si="38"/>
        <v>SMB Pen 15</v>
      </c>
      <c r="S20" s="95" t="str">
        <f t="shared" si="38"/>
        <v>SMB Pen 16</v>
      </c>
      <c r="T20" s="95" t="str">
        <f t="shared" si="38"/>
        <v>SMB Pen 17</v>
      </c>
      <c r="U20" s="95" t="str">
        <f t="shared" si="38"/>
        <v>SMB Pen 18</v>
      </c>
      <c r="V20" s="95" t="str">
        <f t="shared" si="38"/>
        <v>SMB Pen 19</v>
      </c>
      <c r="W20" s="95" t="str">
        <f t="shared" si="38"/>
        <v>SMB Pen 20</v>
      </c>
      <c r="X20" s="95" t="str">
        <f t="shared" si="38"/>
        <v>SMB Pen 21</v>
      </c>
      <c r="Y20" s="95" t="str">
        <f t="shared" si="38"/>
        <v>SMB Pen 22</v>
      </c>
      <c r="Z20" s="95" t="str">
        <f t="shared" si="38"/>
        <v>SMB Pen 23</v>
      </c>
      <c r="AA20" s="95" t="str">
        <f t="shared" si="38"/>
        <v>SMB Pen 24</v>
      </c>
      <c r="AB20" s="95" t="str">
        <f t="shared" si="38"/>
        <v>SMB Pen 25</v>
      </c>
      <c r="AC20" s="95" t="str">
        <f t="shared" si="38"/>
        <v>SMB Pen 26</v>
      </c>
      <c r="AD20" s="95" t="str">
        <f t="shared" si="38"/>
        <v>SMB Pen 27</v>
      </c>
      <c r="AE20" s="95" t="str">
        <f t="shared" si="38"/>
        <v>SMB Pen 28</v>
      </c>
      <c r="AF20" s="95" t="str">
        <f t="shared" si="38"/>
        <v>SMB Pen 29</v>
      </c>
      <c r="AG20" s="95" t="str">
        <f t="shared" si="38"/>
        <v>SMB Pen 30</v>
      </c>
      <c r="AH20" s="95" t="str">
        <f t="shared" si="38"/>
        <v>SMB Pen 31</v>
      </c>
      <c r="AI20" s="95" t="str">
        <f t="shared" si="38"/>
        <v>SMB Pen 32</v>
      </c>
      <c r="AJ20" s="95" t="str">
        <f t="shared" si="38"/>
        <v>SMB Pen 33</v>
      </c>
      <c r="AK20" s="95" t="str">
        <f t="shared" si="38"/>
        <v>SMB Pen 34</v>
      </c>
      <c r="AL20" s="95" t="str">
        <f t="shared" si="38"/>
        <v>SMB Pen 35</v>
      </c>
      <c r="AM20" s="95" t="str">
        <f t="shared" si="38"/>
        <v>SMB Pen 36</v>
      </c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95"/>
      <c r="DQ20" s="95"/>
      <c r="DR20" s="95"/>
      <c r="DS20" s="95"/>
      <c r="DT20" s="95"/>
      <c r="DU20" s="95"/>
      <c r="DV20" s="95"/>
      <c r="DW20" s="95"/>
      <c r="DX20" s="95"/>
      <c r="DY20" s="95"/>
      <c r="DZ20" s="95"/>
      <c r="EA20" s="95"/>
      <c r="EB20" s="95"/>
      <c r="EC20" s="95"/>
      <c r="ED20" s="95"/>
      <c r="EE20" s="95"/>
      <c r="EF20" s="95"/>
      <c r="EG20" s="95"/>
      <c r="EH20" s="95"/>
      <c r="EI20" s="95"/>
      <c r="EJ20" s="95"/>
      <c r="EK20" s="95"/>
      <c r="EL20" s="95"/>
      <c r="EM20" s="95"/>
      <c r="EN20" s="95"/>
      <c r="EO20" s="95"/>
      <c r="EP20" s="95"/>
      <c r="EQ20" s="95"/>
      <c r="ER20" s="95"/>
      <c r="ES20" s="95"/>
      <c r="ET20" s="95"/>
      <c r="EU20" s="95"/>
      <c r="EV20" s="95"/>
      <c r="EW20" s="95"/>
      <c r="EX20" s="95"/>
      <c r="EY20" s="95"/>
      <c r="EZ20" s="95"/>
      <c r="FA20" s="95"/>
      <c r="FB20" s="95"/>
      <c r="FC20" s="95"/>
      <c r="FD20" s="95"/>
      <c r="FE20" s="95"/>
      <c r="FF20" s="95"/>
      <c r="FG20" s="95"/>
      <c r="FH20" s="95"/>
      <c r="FI20" s="95"/>
      <c r="FJ20" s="95"/>
      <c r="FK20" s="95"/>
      <c r="FL20" s="95"/>
      <c r="FM20" s="95"/>
      <c r="FN20" s="95"/>
      <c r="FO20" s="95"/>
      <c r="FP20" s="95"/>
      <c r="FQ20" s="95"/>
      <c r="FR20" s="95"/>
      <c r="FS20" s="95"/>
      <c r="FT20" s="95"/>
      <c r="FU20" s="95"/>
      <c r="FV20" s="95"/>
      <c r="FW20" s="95"/>
      <c r="FX20" s="95"/>
      <c r="FY20" s="95"/>
      <c r="FZ20" s="95"/>
      <c r="GA20" s="95"/>
      <c r="GB20" s="96"/>
    </row>
    <row r="21" spans="1:184" ht="16.5" customHeight="1">
      <c r="A21" s="1"/>
      <c r="B21" s="65"/>
      <c r="C21" s="104">
        <f t="shared" ref="C21:AM21" si="39">IFERROR(IF(OR(C$4=0,C$4=1),0,IF(AND(C$4&gt;=2,C$4&lt;=12),(C$4/12)*SMB12moPenCalc,B21+(SMB36moPenCalc/24-SMB12moPenCalc/24))),0)</f>
        <v>0</v>
      </c>
      <c r="D21" s="105">
        <f t="shared" si="39"/>
        <v>0</v>
      </c>
      <c r="E21" s="105">
        <f t="shared" si="39"/>
        <v>0</v>
      </c>
      <c r="F21" s="105">
        <f t="shared" si="39"/>
        <v>0</v>
      </c>
      <c r="G21" s="105">
        <f t="shared" si="39"/>
        <v>0</v>
      </c>
      <c r="H21" s="105">
        <f t="shared" si="39"/>
        <v>0</v>
      </c>
      <c r="I21" s="105">
        <f t="shared" si="39"/>
        <v>0</v>
      </c>
      <c r="J21" s="105">
        <f t="shared" si="39"/>
        <v>0</v>
      </c>
      <c r="K21" s="105">
        <f t="shared" si="39"/>
        <v>0</v>
      </c>
      <c r="L21" s="105">
        <f t="shared" si="39"/>
        <v>0</v>
      </c>
      <c r="M21" s="105">
        <f t="shared" si="39"/>
        <v>0</v>
      </c>
      <c r="N21" s="105">
        <f t="shared" si="39"/>
        <v>0</v>
      </c>
      <c r="O21" s="105">
        <f t="shared" si="39"/>
        <v>0</v>
      </c>
      <c r="P21" s="105">
        <f t="shared" si="39"/>
        <v>0</v>
      </c>
      <c r="Q21" s="105">
        <f t="shared" si="39"/>
        <v>0</v>
      </c>
      <c r="R21" s="105">
        <f t="shared" si="39"/>
        <v>0</v>
      </c>
      <c r="S21" s="105">
        <f t="shared" si="39"/>
        <v>0</v>
      </c>
      <c r="T21" s="105">
        <f t="shared" si="39"/>
        <v>0</v>
      </c>
      <c r="U21" s="105">
        <f t="shared" si="39"/>
        <v>0</v>
      </c>
      <c r="V21" s="105">
        <f t="shared" si="39"/>
        <v>0</v>
      </c>
      <c r="W21" s="105">
        <f t="shared" si="39"/>
        <v>0</v>
      </c>
      <c r="X21" s="105">
        <f t="shared" si="39"/>
        <v>0</v>
      </c>
      <c r="Y21" s="105">
        <f t="shared" si="39"/>
        <v>0</v>
      </c>
      <c r="Z21" s="105">
        <f t="shared" si="39"/>
        <v>0</v>
      </c>
      <c r="AA21" s="105">
        <f t="shared" si="39"/>
        <v>0</v>
      </c>
      <c r="AB21" s="105">
        <f t="shared" si="39"/>
        <v>0</v>
      </c>
      <c r="AC21" s="105">
        <f t="shared" si="39"/>
        <v>0</v>
      </c>
      <c r="AD21" s="105">
        <f t="shared" si="39"/>
        <v>0</v>
      </c>
      <c r="AE21" s="105">
        <f t="shared" si="39"/>
        <v>0</v>
      </c>
      <c r="AF21" s="105">
        <f t="shared" si="39"/>
        <v>0</v>
      </c>
      <c r="AG21" s="105">
        <f t="shared" si="39"/>
        <v>0</v>
      </c>
      <c r="AH21" s="105">
        <f t="shared" si="39"/>
        <v>0</v>
      </c>
      <c r="AI21" s="105">
        <f t="shared" si="39"/>
        <v>0</v>
      </c>
      <c r="AJ21" s="105">
        <f t="shared" si="39"/>
        <v>0</v>
      </c>
      <c r="AK21" s="105">
        <f t="shared" si="39"/>
        <v>0</v>
      </c>
      <c r="AL21" s="105">
        <f t="shared" si="39"/>
        <v>0</v>
      </c>
      <c r="AM21" s="105">
        <f t="shared" si="39"/>
        <v>0</v>
      </c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66"/>
    </row>
    <row r="22" spans="1:184" ht="6.75" customHeight="1">
      <c r="A22" s="1"/>
      <c r="B22" s="65"/>
      <c r="C22" s="65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66"/>
    </row>
    <row r="23" spans="1:184" s="11" customFormat="1" ht="33" customHeight="1">
      <c r="B23" s="93"/>
      <c r="C23" s="94" t="str">
        <f>"ENT Pen "&amp;C$4</f>
        <v>ENT Pen 0</v>
      </c>
      <c r="D23" s="95" t="str">
        <f t="shared" ref="D23:AM23" si="40">"ENT Pen "&amp;D$4</f>
        <v>ENT Pen 1</v>
      </c>
      <c r="E23" s="95" t="str">
        <f t="shared" si="40"/>
        <v>ENT Pen 2</v>
      </c>
      <c r="F23" s="95" t="str">
        <f t="shared" si="40"/>
        <v>ENT Pen 3</v>
      </c>
      <c r="G23" s="95" t="str">
        <f t="shared" si="40"/>
        <v>ENT Pen 4</v>
      </c>
      <c r="H23" s="95" t="str">
        <f t="shared" si="40"/>
        <v>ENT Pen 5</v>
      </c>
      <c r="I23" s="95" t="str">
        <f t="shared" si="40"/>
        <v>ENT Pen 6</v>
      </c>
      <c r="J23" s="95" t="str">
        <f t="shared" si="40"/>
        <v>ENT Pen 7</v>
      </c>
      <c r="K23" s="95" t="str">
        <f t="shared" si="40"/>
        <v>ENT Pen 8</v>
      </c>
      <c r="L23" s="95" t="str">
        <f t="shared" si="40"/>
        <v>ENT Pen 9</v>
      </c>
      <c r="M23" s="95" t="str">
        <f t="shared" si="40"/>
        <v>ENT Pen 10</v>
      </c>
      <c r="N23" s="95" t="str">
        <f t="shared" si="40"/>
        <v>ENT Pen 11</v>
      </c>
      <c r="O23" s="95" t="str">
        <f t="shared" si="40"/>
        <v>ENT Pen 12</v>
      </c>
      <c r="P23" s="95" t="str">
        <f t="shared" si="40"/>
        <v>ENT Pen 13</v>
      </c>
      <c r="Q23" s="95" t="str">
        <f t="shared" si="40"/>
        <v>ENT Pen 14</v>
      </c>
      <c r="R23" s="95" t="str">
        <f t="shared" si="40"/>
        <v>ENT Pen 15</v>
      </c>
      <c r="S23" s="95" t="str">
        <f t="shared" si="40"/>
        <v>ENT Pen 16</v>
      </c>
      <c r="T23" s="95" t="str">
        <f t="shared" si="40"/>
        <v>ENT Pen 17</v>
      </c>
      <c r="U23" s="95" t="str">
        <f t="shared" si="40"/>
        <v>ENT Pen 18</v>
      </c>
      <c r="V23" s="95" t="str">
        <f t="shared" si="40"/>
        <v>ENT Pen 19</v>
      </c>
      <c r="W23" s="95" t="str">
        <f t="shared" si="40"/>
        <v>ENT Pen 20</v>
      </c>
      <c r="X23" s="95" t="str">
        <f t="shared" si="40"/>
        <v>ENT Pen 21</v>
      </c>
      <c r="Y23" s="95" t="str">
        <f t="shared" si="40"/>
        <v>ENT Pen 22</v>
      </c>
      <c r="Z23" s="95" t="str">
        <f t="shared" si="40"/>
        <v>ENT Pen 23</v>
      </c>
      <c r="AA23" s="95" t="str">
        <f t="shared" si="40"/>
        <v>ENT Pen 24</v>
      </c>
      <c r="AB23" s="95" t="str">
        <f t="shared" si="40"/>
        <v>ENT Pen 25</v>
      </c>
      <c r="AC23" s="95" t="str">
        <f t="shared" si="40"/>
        <v>ENT Pen 26</v>
      </c>
      <c r="AD23" s="95" t="str">
        <f t="shared" si="40"/>
        <v>ENT Pen 27</v>
      </c>
      <c r="AE23" s="95" t="str">
        <f t="shared" si="40"/>
        <v>ENT Pen 28</v>
      </c>
      <c r="AF23" s="95" t="str">
        <f t="shared" si="40"/>
        <v>ENT Pen 29</v>
      </c>
      <c r="AG23" s="95" t="str">
        <f t="shared" si="40"/>
        <v>ENT Pen 30</v>
      </c>
      <c r="AH23" s="95" t="str">
        <f t="shared" si="40"/>
        <v>ENT Pen 31</v>
      </c>
      <c r="AI23" s="95" t="str">
        <f t="shared" si="40"/>
        <v>ENT Pen 32</v>
      </c>
      <c r="AJ23" s="95" t="str">
        <f t="shared" si="40"/>
        <v>ENT Pen 33</v>
      </c>
      <c r="AK23" s="95" t="str">
        <f t="shared" si="40"/>
        <v>ENT Pen 34</v>
      </c>
      <c r="AL23" s="95" t="str">
        <f t="shared" si="40"/>
        <v>ENT Pen 35</v>
      </c>
      <c r="AM23" s="95" t="str">
        <f t="shared" si="40"/>
        <v>ENT Pen 36</v>
      </c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5"/>
      <c r="CJ23" s="95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5"/>
      <c r="DT23" s="95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5"/>
      <c r="EF23" s="95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5"/>
      <c r="ER23" s="95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5"/>
      <c r="FD23" s="95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5"/>
      <c r="FP23" s="95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5"/>
      <c r="GB23" s="96"/>
    </row>
    <row r="24" spans="1:184" ht="16.5" customHeight="1">
      <c r="A24" s="1"/>
      <c r="B24" s="65"/>
      <c r="C24" s="104">
        <f t="shared" ref="C24:AM24" si="41">IFERROR(IF(OR(C$4=0,C$4=1,C$4=2),0,IF(AND(C$4&gt;=3,C$4&lt;=12),(C$4/12)*ENT12moPenCalc,B24+(ENT36moPenCalc/24-ENT12moPenCalc/24))),0)</f>
        <v>0</v>
      </c>
      <c r="D24" s="105">
        <f t="shared" si="41"/>
        <v>0</v>
      </c>
      <c r="E24" s="105">
        <f t="shared" si="41"/>
        <v>0</v>
      </c>
      <c r="F24" s="105">
        <f t="shared" si="41"/>
        <v>0</v>
      </c>
      <c r="G24" s="105">
        <f t="shared" si="41"/>
        <v>0</v>
      </c>
      <c r="H24" s="105">
        <f t="shared" si="41"/>
        <v>0</v>
      </c>
      <c r="I24" s="105">
        <f t="shared" si="41"/>
        <v>0</v>
      </c>
      <c r="J24" s="105">
        <f t="shared" si="41"/>
        <v>0</v>
      </c>
      <c r="K24" s="105">
        <f t="shared" si="41"/>
        <v>0</v>
      </c>
      <c r="L24" s="105">
        <f t="shared" si="41"/>
        <v>0</v>
      </c>
      <c r="M24" s="105">
        <f t="shared" si="41"/>
        <v>0</v>
      </c>
      <c r="N24" s="105">
        <f t="shared" si="41"/>
        <v>0</v>
      </c>
      <c r="O24" s="105">
        <f t="shared" si="41"/>
        <v>0</v>
      </c>
      <c r="P24" s="105">
        <f t="shared" si="41"/>
        <v>0</v>
      </c>
      <c r="Q24" s="105">
        <f t="shared" si="41"/>
        <v>0</v>
      </c>
      <c r="R24" s="105">
        <f t="shared" si="41"/>
        <v>0</v>
      </c>
      <c r="S24" s="105">
        <f t="shared" si="41"/>
        <v>0</v>
      </c>
      <c r="T24" s="105">
        <f t="shared" si="41"/>
        <v>0</v>
      </c>
      <c r="U24" s="105">
        <f t="shared" si="41"/>
        <v>0</v>
      </c>
      <c r="V24" s="105">
        <f t="shared" si="41"/>
        <v>0</v>
      </c>
      <c r="W24" s="105">
        <f t="shared" si="41"/>
        <v>0</v>
      </c>
      <c r="X24" s="105">
        <f t="shared" si="41"/>
        <v>0</v>
      </c>
      <c r="Y24" s="105">
        <f t="shared" si="41"/>
        <v>0</v>
      </c>
      <c r="Z24" s="105">
        <f t="shared" si="41"/>
        <v>0</v>
      </c>
      <c r="AA24" s="105">
        <f t="shared" si="41"/>
        <v>0</v>
      </c>
      <c r="AB24" s="105">
        <f t="shared" si="41"/>
        <v>0</v>
      </c>
      <c r="AC24" s="105">
        <f t="shared" si="41"/>
        <v>0</v>
      </c>
      <c r="AD24" s="105">
        <f t="shared" si="41"/>
        <v>0</v>
      </c>
      <c r="AE24" s="105">
        <f t="shared" si="41"/>
        <v>0</v>
      </c>
      <c r="AF24" s="105">
        <f t="shared" si="41"/>
        <v>0</v>
      </c>
      <c r="AG24" s="105">
        <f t="shared" si="41"/>
        <v>0</v>
      </c>
      <c r="AH24" s="105">
        <f t="shared" si="41"/>
        <v>0</v>
      </c>
      <c r="AI24" s="105">
        <f t="shared" si="41"/>
        <v>0</v>
      </c>
      <c r="AJ24" s="105">
        <f t="shared" si="41"/>
        <v>0</v>
      </c>
      <c r="AK24" s="105">
        <f t="shared" si="41"/>
        <v>0</v>
      </c>
      <c r="AL24" s="105">
        <f t="shared" si="41"/>
        <v>0</v>
      </c>
      <c r="AM24" s="105">
        <f t="shared" si="41"/>
        <v>0</v>
      </c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66"/>
    </row>
    <row r="25" spans="1:184" ht="6.75" customHeight="1">
      <c r="A25" s="1"/>
      <c r="B25" s="65"/>
      <c r="C25" s="65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66"/>
    </row>
    <row r="26" spans="1:184" s="11" customFormat="1" ht="33" customHeight="1">
      <c r="B26" s="93"/>
      <c r="C26" s="94" t="str">
        <f>"SMB Cust "&amp;C$4</f>
        <v>SMB Cust 0</v>
      </c>
      <c r="D26" s="95" t="str">
        <f t="shared" ref="D26:BO26" si="42">"SMB Cust "&amp;D$4</f>
        <v>SMB Cust 1</v>
      </c>
      <c r="E26" s="95" t="str">
        <f t="shared" si="42"/>
        <v>SMB Cust 2</v>
      </c>
      <c r="F26" s="95" t="str">
        <f t="shared" si="42"/>
        <v>SMB Cust 3</v>
      </c>
      <c r="G26" s="95" t="str">
        <f t="shared" si="42"/>
        <v>SMB Cust 4</v>
      </c>
      <c r="H26" s="95" t="str">
        <f t="shared" si="42"/>
        <v>SMB Cust 5</v>
      </c>
      <c r="I26" s="95" t="str">
        <f t="shared" si="42"/>
        <v>SMB Cust 6</v>
      </c>
      <c r="J26" s="95" t="str">
        <f t="shared" si="42"/>
        <v>SMB Cust 7</v>
      </c>
      <c r="K26" s="95" t="str">
        <f t="shared" si="42"/>
        <v>SMB Cust 8</v>
      </c>
      <c r="L26" s="95" t="str">
        <f t="shared" si="42"/>
        <v>SMB Cust 9</v>
      </c>
      <c r="M26" s="95" t="str">
        <f t="shared" si="42"/>
        <v>SMB Cust 10</v>
      </c>
      <c r="N26" s="95" t="str">
        <f t="shared" si="42"/>
        <v>SMB Cust 11</v>
      </c>
      <c r="O26" s="95" t="str">
        <f t="shared" si="42"/>
        <v>SMB Cust 12</v>
      </c>
      <c r="P26" s="95" t="str">
        <f t="shared" si="42"/>
        <v>SMB Cust 13</v>
      </c>
      <c r="Q26" s="95" t="str">
        <f t="shared" si="42"/>
        <v>SMB Cust 14</v>
      </c>
      <c r="R26" s="95" t="str">
        <f t="shared" si="42"/>
        <v>SMB Cust 15</v>
      </c>
      <c r="S26" s="95" t="str">
        <f t="shared" si="42"/>
        <v>SMB Cust 16</v>
      </c>
      <c r="T26" s="95" t="str">
        <f t="shared" si="42"/>
        <v>SMB Cust 17</v>
      </c>
      <c r="U26" s="95" t="str">
        <f t="shared" si="42"/>
        <v>SMB Cust 18</v>
      </c>
      <c r="V26" s="95" t="str">
        <f t="shared" si="42"/>
        <v>SMB Cust 19</v>
      </c>
      <c r="W26" s="95" t="str">
        <f t="shared" si="42"/>
        <v>SMB Cust 20</v>
      </c>
      <c r="X26" s="95" t="str">
        <f t="shared" si="42"/>
        <v>SMB Cust 21</v>
      </c>
      <c r="Y26" s="95" t="str">
        <f t="shared" si="42"/>
        <v>SMB Cust 22</v>
      </c>
      <c r="Z26" s="95" t="str">
        <f t="shared" si="42"/>
        <v>SMB Cust 23</v>
      </c>
      <c r="AA26" s="95" t="str">
        <f t="shared" si="42"/>
        <v>SMB Cust 24</v>
      </c>
      <c r="AB26" s="95" t="str">
        <f t="shared" si="42"/>
        <v>SMB Cust 25</v>
      </c>
      <c r="AC26" s="95" t="str">
        <f t="shared" si="42"/>
        <v>SMB Cust 26</v>
      </c>
      <c r="AD26" s="95" t="str">
        <f t="shared" si="42"/>
        <v>SMB Cust 27</v>
      </c>
      <c r="AE26" s="95" t="str">
        <f t="shared" si="42"/>
        <v>SMB Cust 28</v>
      </c>
      <c r="AF26" s="95" t="str">
        <f t="shared" si="42"/>
        <v>SMB Cust 29</v>
      </c>
      <c r="AG26" s="95" t="str">
        <f t="shared" si="42"/>
        <v>SMB Cust 30</v>
      </c>
      <c r="AH26" s="95" t="str">
        <f t="shared" si="42"/>
        <v>SMB Cust 31</v>
      </c>
      <c r="AI26" s="95" t="str">
        <f t="shared" si="42"/>
        <v>SMB Cust 32</v>
      </c>
      <c r="AJ26" s="95" t="str">
        <f t="shared" si="42"/>
        <v>SMB Cust 33</v>
      </c>
      <c r="AK26" s="95" t="str">
        <f t="shared" si="42"/>
        <v>SMB Cust 34</v>
      </c>
      <c r="AL26" s="95" t="str">
        <f t="shared" si="42"/>
        <v>SMB Cust 35</v>
      </c>
      <c r="AM26" s="95" t="str">
        <f t="shared" si="42"/>
        <v>SMB Cust 36</v>
      </c>
      <c r="AN26" s="95" t="str">
        <f t="shared" si="42"/>
        <v>SMB Cust 37</v>
      </c>
      <c r="AO26" s="95" t="str">
        <f t="shared" si="42"/>
        <v>SMB Cust 38</v>
      </c>
      <c r="AP26" s="95" t="str">
        <f t="shared" si="42"/>
        <v>SMB Cust 39</v>
      </c>
      <c r="AQ26" s="95" t="str">
        <f t="shared" si="42"/>
        <v>SMB Cust 40</v>
      </c>
      <c r="AR26" s="95" t="str">
        <f t="shared" si="42"/>
        <v>SMB Cust 41</v>
      </c>
      <c r="AS26" s="95" t="str">
        <f t="shared" si="42"/>
        <v>SMB Cust 42</v>
      </c>
      <c r="AT26" s="95" t="str">
        <f t="shared" si="42"/>
        <v>SMB Cust 43</v>
      </c>
      <c r="AU26" s="95" t="str">
        <f t="shared" si="42"/>
        <v>SMB Cust 44</v>
      </c>
      <c r="AV26" s="95" t="str">
        <f t="shared" si="42"/>
        <v>SMB Cust 45</v>
      </c>
      <c r="AW26" s="95" t="str">
        <f t="shared" si="42"/>
        <v>SMB Cust 46</v>
      </c>
      <c r="AX26" s="95" t="str">
        <f t="shared" si="42"/>
        <v>SMB Cust 47</v>
      </c>
      <c r="AY26" s="95" t="str">
        <f t="shared" si="42"/>
        <v>SMB Cust 48</v>
      </c>
      <c r="AZ26" s="95" t="str">
        <f t="shared" si="42"/>
        <v>SMB Cust 49</v>
      </c>
      <c r="BA26" s="95" t="str">
        <f t="shared" si="42"/>
        <v>SMB Cust 50</v>
      </c>
      <c r="BB26" s="95" t="str">
        <f t="shared" si="42"/>
        <v>SMB Cust 51</v>
      </c>
      <c r="BC26" s="95" t="str">
        <f t="shared" si="42"/>
        <v>SMB Cust 52</v>
      </c>
      <c r="BD26" s="95" t="str">
        <f t="shared" si="42"/>
        <v>SMB Cust 53</v>
      </c>
      <c r="BE26" s="95" t="str">
        <f t="shared" si="42"/>
        <v>SMB Cust 54</v>
      </c>
      <c r="BF26" s="95" t="str">
        <f t="shared" si="42"/>
        <v>SMB Cust 55</v>
      </c>
      <c r="BG26" s="95" t="str">
        <f t="shared" si="42"/>
        <v>SMB Cust 56</v>
      </c>
      <c r="BH26" s="95" t="str">
        <f t="shared" si="42"/>
        <v>SMB Cust 57</v>
      </c>
      <c r="BI26" s="95" t="str">
        <f t="shared" si="42"/>
        <v>SMB Cust 58</v>
      </c>
      <c r="BJ26" s="95" t="str">
        <f t="shared" si="42"/>
        <v>SMB Cust 59</v>
      </c>
      <c r="BK26" s="95" t="str">
        <f t="shared" si="42"/>
        <v>SMB Cust 60</v>
      </c>
      <c r="BL26" s="95" t="str">
        <f t="shared" si="42"/>
        <v>SMB Cust 61</v>
      </c>
      <c r="BM26" s="95" t="str">
        <f t="shared" si="42"/>
        <v>SMB Cust 62</v>
      </c>
      <c r="BN26" s="95" t="str">
        <f t="shared" si="42"/>
        <v>SMB Cust 63</v>
      </c>
      <c r="BO26" s="95" t="str">
        <f t="shared" si="42"/>
        <v>SMB Cust 64</v>
      </c>
      <c r="BP26" s="95" t="str">
        <f t="shared" ref="BP26:EA26" si="43">"SMB Cust "&amp;BP$4</f>
        <v>SMB Cust 65</v>
      </c>
      <c r="BQ26" s="95" t="str">
        <f t="shared" si="43"/>
        <v>SMB Cust 66</v>
      </c>
      <c r="BR26" s="95" t="str">
        <f t="shared" si="43"/>
        <v>SMB Cust 67</v>
      </c>
      <c r="BS26" s="95" t="str">
        <f t="shared" si="43"/>
        <v>SMB Cust 68</v>
      </c>
      <c r="BT26" s="95" t="str">
        <f t="shared" si="43"/>
        <v>SMB Cust 69</v>
      </c>
      <c r="BU26" s="95" t="str">
        <f t="shared" si="43"/>
        <v>SMB Cust 70</v>
      </c>
      <c r="BV26" s="95" t="str">
        <f t="shared" si="43"/>
        <v>SMB Cust 71</v>
      </c>
      <c r="BW26" s="95" t="str">
        <f t="shared" si="43"/>
        <v>SMB Cust 72</v>
      </c>
      <c r="BX26" s="95" t="str">
        <f t="shared" si="43"/>
        <v>SMB Cust 73</v>
      </c>
      <c r="BY26" s="95" t="str">
        <f t="shared" si="43"/>
        <v>SMB Cust 74</v>
      </c>
      <c r="BZ26" s="95" t="str">
        <f t="shared" si="43"/>
        <v>SMB Cust 75</v>
      </c>
      <c r="CA26" s="95" t="str">
        <f t="shared" si="43"/>
        <v>SMB Cust 76</v>
      </c>
      <c r="CB26" s="95" t="str">
        <f t="shared" si="43"/>
        <v>SMB Cust 77</v>
      </c>
      <c r="CC26" s="95" t="str">
        <f t="shared" si="43"/>
        <v>SMB Cust 78</v>
      </c>
      <c r="CD26" s="95" t="str">
        <f t="shared" si="43"/>
        <v>SMB Cust 79</v>
      </c>
      <c r="CE26" s="95" t="str">
        <f t="shared" si="43"/>
        <v>SMB Cust 80</v>
      </c>
      <c r="CF26" s="95" t="str">
        <f t="shared" si="43"/>
        <v>SMB Cust 81</v>
      </c>
      <c r="CG26" s="95" t="str">
        <f t="shared" si="43"/>
        <v>SMB Cust 82</v>
      </c>
      <c r="CH26" s="95" t="str">
        <f t="shared" si="43"/>
        <v>SMB Cust 83</v>
      </c>
      <c r="CI26" s="95" t="str">
        <f t="shared" si="43"/>
        <v>SMB Cust 84</v>
      </c>
      <c r="CJ26" s="95" t="str">
        <f t="shared" si="43"/>
        <v>SMB Cust 85</v>
      </c>
      <c r="CK26" s="95" t="str">
        <f t="shared" si="43"/>
        <v>SMB Cust 86</v>
      </c>
      <c r="CL26" s="95" t="str">
        <f t="shared" si="43"/>
        <v>SMB Cust 87</v>
      </c>
      <c r="CM26" s="95" t="str">
        <f t="shared" si="43"/>
        <v>SMB Cust 88</v>
      </c>
      <c r="CN26" s="95" t="str">
        <f t="shared" si="43"/>
        <v>SMB Cust 89</v>
      </c>
      <c r="CO26" s="95" t="str">
        <f t="shared" si="43"/>
        <v>SMB Cust 90</v>
      </c>
      <c r="CP26" s="95" t="str">
        <f t="shared" si="43"/>
        <v>SMB Cust 91</v>
      </c>
      <c r="CQ26" s="95" t="str">
        <f t="shared" si="43"/>
        <v>SMB Cust 92</v>
      </c>
      <c r="CR26" s="95" t="str">
        <f t="shared" si="43"/>
        <v>SMB Cust 93</v>
      </c>
      <c r="CS26" s="95" t="str">
        <f t="shared" si="43"/>
        <v>SMB Cust 94</v>
      </c>
      <c r="CT26" s="95" t="str">
        <f t="shared" si="43"/>
        <v>SMB Cust 95</v>
      </c>
      <c r="CU26" s="95" t="str">
        <f t="shared" si="43"/>
        <v>SMB Cust 96</v>
      </c>
      <c r="CV26" s="95" t="str">
        <f t="shared" si="43"/>
        <v>SMB Cust 97</v>
      </c>
      <c r="CW26" s="95" t="str">
        <f t="shared" si="43"/>
        <v>SMB Cust 98</v>
      </c>
      <c r="CX26" s="95" t="str">
        <f t="shared" si="43"/>
        <v>SMB Cust 99</v>
      </c>
      <c r="CY26" s="95" t="str">
        <f t="shared" si="43"/>
        <v>SMB Cust 100</v>
      </c>
      <c r="CZ26" s="95" t="str">
        <f t="shared" si="43"/>
        <v>SMB Cust 101</v>
      </c>
      <c r="DA26" s="95" t="str">
        <f t="shared" si="43"/>
        <v>SMB Cust 102</v>
      </c>
      <c r="DB26" s="95" t="str">
        <f t="shared" si="43"/>
        <v>SMB Cust 103</v>
      </c>
      <c r="DC26" s="95" t="str">
        <f t="shared" si="43"/>
        <v>SMB Cust 104</v>
      </c>
      <c r="DD26" s="95" t="str">
        <f t="shared" si="43"/>
        <v>SMB Cust 105</v>
      </c>
      <c r="DE26" s="95" t="str">
        <f t="shared" si="43"/>
        <v>SMB Cust 106</v>
      </c>
      <c r="DF26" s="95" t="str">
        <f t="shared" si="43"/>
        <v>SMB Cust 107</v>
      </c>
      <c r="DG26" s="95" t="str">
        <f t="shared" si="43"/>
        <v>SMB Cust 108</v>
      </c>
      <c r="DH26" s="95" t="str">
        <f t="shared" si="43"/>
        <v>SMB Cust 109</v>
      </c>
      <c r="DI26" s="95" t="str">
        <f t="shared" si="43"/>
        <v>SMB Cust 110</v>
      </c>
      <c r="DJ26" s="95" t="str">
        <f t="shared" si="43"/>
        <v>SMB Cust 111</v>
      </c>
      <c r="DK26" s="95" t="str">
        <f t="shared" si="43"/>
        <v>SMB Cust 112</v>
      </c>
      <c r="DL26" s="95" t="str">
        <f t="shared" si="43"/>
        <v>SMB Cust 113</v>
      </c>
      <c r="DM26" s="95" t="str">
        <f t="shared" si="43"/>
        <v>SMB Cust 114</v>
      </c>
      <c r="DN26" s="95" t="str">
        <f t="shared" si="43"/>
        <v>SMB Cust 115</v>
      </c>
      <c r="DO26" s="95" t="str">
        <f t="shared" si="43"/>
        <v>SMB Cust 116</v>
      </c>
      <c r="DP26" s="95" t="str">
        <f t="shared" si="43"/>
        <v>SMB Cust 117</v>
      </c>
      <c r="DQ26" s="95" t="str">
        <f t="shared" si="43"/>
        <v>SMB Cust 118</v>
      </c>
      <c r="DR26" s="95" t="str">
        <f t="shared" si="43"/>
        <v>SMB Cust 119</v>
      </c>
      <c r="DS26" s="95" t="str">
        <f t="shared" si="43"/>
        <v>SMB Cust 120</v>
      </c>
      <c r="DT26" s="95" t="str">
        <f t="shared" si="43"/>
        <v>SMB Cust 121</v>
      </c>
      <c r="DU26" s="95" t="str">
        <f t="shared" si="43"/>
        <v>SMB Cust 122</v>
      </c>
      <c r="DV26" s="95" t="str">
        <f t="shared" si="43"/>
        <v>SMB Cust 123</v>
      </c>
      <c r="DW26" s="95" t="str">
        <f t="shared" si="43"/>
        <v>SMB Cust 124</v>
      </c>
      <c r="DX26" s="95" t="str">
        <f t="shared" si="43"/>
        <v>SMB Cust 125</v>
      </c>
      <c r="DY26" s="95" t="str">
        <f t="shared" si="43"/>
        <v>SMB Cust 126</v>
      </c>
      <c r="DZ26" s="95" t="str">
        <f t="shared" si="43"/>
        <v>SMB Cust 127</v>
      </c>
      <c r="EA26" s="95" t="str">
        <f t="shared" si="43"/>
        <v>SMB Cust 128</v>
      </c>
      <c r="EB26" s="95" t="str">
        <f t="shared" ref="EB26:GA26" si="44">"SMB Cust "&amp;EB$4</f>
        <v>SMB Cust 129</v>
      </c>
      <c r="EC26" s="95" t="str">
        <f t="shared" si="44"/>
        <v>SMB Cust 130</v>
      </c>
      <c r="ED26" s="95" t="str">
        <f t="shared" si="44"/>
        <v>SMB Cust 131</v>
      </c>
      <c r="EE26" s="95" t="str">
        <f t="shared" si="44"/>
        <v>SMB Cust 132</v>
      </c>
      <c r="EF26" s="95" t="str">
        <f t="shared" si="44"/>
        <v>SMB Cust 133</v>
      </c>
      <c r="EG26" s="95" t="str">
        <f t="shared" si="44"/>
        <v>SMB Cust 134</v>
      </c>
      <c r="EH26" s="95" t="str">
        <f t="shared" si="44"/>
        <v>SMB Cust 135</v>
      </c>
      <c r="EI26" s="95" t="str">
        <f t="shared" si="44"/>
        <v>SMB Cust 136</v>
      </c>
      <c r="EJ26" s="95" t="str">
        <f t="shared" si="44"/>
        <v>SMB Cust 137</v>
      </c>
      <c r="EK26" s="95" t="str">
        <f t="shared" si="44"/>
        <v>SMB Cust 138</v>
      </c>
      <c r="EL26" s="95" t="str">
        <f t="shared" si="44"/>
        <v>SMB Cust 139</v>
      </c>
      <c r="EM26" s="95" t="str">
        <f t="shared" si="44"/>
        <v>SMB Cust 140</v>
      </c>
      <c r="EN26" s="95" t="str">
        <f t="shared" si="44"/>
        <v>SMB Cust 141</v>
      </c>
      <c r="EO26" s="95" t="str">
        <f t="shared" si="44"/>
        <v>SMB Cust 142</v>
      </c>
      <c r="EP26" s="95" t="str">
        <f t="shared" si="44"/>
        <v>SMB Cust 143</v>
      </c>
      <c r="EQ26" s="95" t="str">
        <f t="shared" si="44"/>
        <v>SMB Cust 144</v>
      </c>
      <c r="ER26" s="95" t="str">
        <f t="shared" si="44"/>
        <v>SMB Cust 145</v>
      </c>
      <c r="ES26" s="95" t="str">
        <f t="shared" si="44"/>
        <v>SMB Cust 146</v>
      </c>
      <c r="ET26" s="95" t="str">
        <f t="shared" si="44"/>
        <v>SMB Cust 147</v>
      </c>
      <c r="EU26" s="95" t="str">
        <f t="shared" si="44"/>
        <v>SMB Cust 148</v>
      </c>
      <c r="EV26" s="95" t="str">
        <f t="shared" si="44"/>
        <v>SMB Cust 149</v>
      </c>
      <c r="EW26" s="95" t="str">
        <f t="shared" si="44"/>
        <v>SMB Cust 150</v>
      </c>
      <c r="EX26" s="95" t="str">
        <f t="shared" si="44"/>
        <v>SMB Cust 151</v>
      </c>
      <c r="EY26" s="95" t="str">
        <f t="shared" si="44"/>
        <v>SMB Cust 152</v>
      </c>
      <c r="EZ26" s="95" t="str">
        <f t="shared" si="44"/>
        <v>SMB Cust 153</v>
      </c>
      <c r="FA26" s="95" t="str">
        <f t="shared" si="44"/>
        <v>SMB Cust 154</v>
      </c>
      <c r="FB26" s="95" t="str">
        <f t="shared" si="44"/>
        <v>SMB Cust 155</v>
      </c>
      <c r="FC26" s="95" t="str">
        <f t="shared" si="44"/>
        <v>SMB Cust 156</v>
      </c>
      <c r="FD26" s="95" t="str">
        <f t="shared" si="44"/>
        <v>SMB Cust 157</v>
      </c>
      <c r="FE26" s="95" t="str">
        <f t="shared" si="44"/>
        <v>SMB Cust 158</v>
      </c>
      <c r="FF26" s="95" t="str">
        <f t="shared" si="44"/>
        <v>SMB Cust 159</v>
      </c>
      <c r="FG26" s="95" t="str">
        <f t="shared" si="44"/>
        <v>SMB Cust 160</v>
      </c>
      <c r="FH26" s="95" t="str">
        <f t="shared" si="44"/>
        <v>SMB Cust 161</v>
      </c>
      <c r="FI26" s="95" t="str">
        <f t="shared" si="44"/>
        <v>SMB Cust 162</v>
      </c>
      <c r="FJ26" s="95" t="str">
        <f t="shared" si="44"/>
        <v>SMB Cust 163</v>
      </c>
      <c r="FK26" s="95" t="str">
        <f t="shared" si="44"/>
        <v>SMB Cust 164</v>
      </c>
      <c r="FL26" s="95" t="str">
        <f t="shared" si="44"/>
        <v>SMB Cust 165</v>
      </c>
      <c r="FM26" s="95" t="str">
        <f t="shared" si="44"/>
        <v>SMB Cust 166</v>
      </c>
      <c r="FN26" s="95" t="str">
        <f t="shared" si="44"/>
        <v>SMB Cust 167</v>
      </c>
      <c r="FO26" s="95" t="str">
        <f t="shared" si="44"/>
        <v>SMB Cust 168</v>
      </c>
      <c r="FP26" s="95" t="str">
        <f t="shared" si="44"/>
        <v>SMB Cust 169</v>
      </c>
      <c r="FQ26" s="95" t="str">
        <f t="shared" si="44"/>
        <v>SMB Cust 170</v>
      </c>
      <c r="FR26" s="95" t="str">
        <f t="shared" si="44"/>
        <v>SMB Cust 171</v>
      </c>
      <c r="FS26" s="95" t="str">
        <f t="shared" si="44"/>
        <v>SMB Cust 172</v>
      </c>
      <c r="FT26" s="95" t="str">
        <f t="shared" si="44"/>
        <v>SMB Cust 173</v>
      </c>
      <c r="FU26" s="95" t="str">
        <f t="shared" si="44"/>
        <v>SMB Cust 174</v>
      </c>
      <c r="FV26" s="95" t="str">
        <f t="shared" si="44"/>
        <v>SMB Cust 175</v>
      </c>
      <c r="FW26" s="95" t="str">
        <f t="shared" si="44"/>
        <v>SMB Cust 176</v>
      </c>
      <c r="FX26" s="95" t="str">
        <f t="shared" si="44"/>
        <v>SMB Cust 177</v>
      </c>
      <c r="FY26" s="95" t="str">
        <f t="shared" si="44"/>
        <v>SMB Cust 178</v>
      </c>
      <c r="FZ26" s="95" t="str">
        <f t="shared" si="44"/>
        <v>SMB Cust 179</v>
      </c>
      <c r="GA26" s="95" t="str">
        <f t="shared" si="44"/>
        <v>SMB Cust 180</v>
      </c>
      <c r="GB26" s="96"/>
    </row>
    <row r="27" spans="1:184" ht="16.5" customHeight="1">
      <c r="A27" s="1"/>
      <c r="B27" s="65"/>
      <c r="C27" s="106">
        <f t="shared" ref="C27:AH27" si="45">IFERROR(C6/SMBARPUCalc,0)</f>
        <v>0</v>
      </c>
      <c r="D27" s="107">
        <f t="shared" si="45"/>
        <v>0</v>
      </c>
      <c r="E27" s="107">
        <f t="shared" si="45"/>
        <v>0</v>
      </c>
      <c r="F27" s="107">
        <f t="shared" si="45"/>
        <v>0</v>
      </c>
      <c r="G27" s="107">
        <f t="shared" si="45"/>
        <v>0</v>
      </c>
      <c r="H27" s="107">
        <f t="shared" si="45"/>
        <v>0</v>
      </c>
      <c r="I27" s="107">
        <f t="shared" si="45"/>
        <v>0</v>
      </c>
      <c r="J27" s="107">
        <f t="shared" si="45"/>
        <v>0</v>
      </c>
      <c r="K27" s="107">
        <f t="shared" si="45"/>
        <v>0</v>
      </c>
      <c r="L27" s="107">
        <f t="shared" si="45"/>
        <v>0</v>
      </c>
      <c r="M27" s="107">
        <f t="shared" si="45"/>
        <v>0</v>
      </c>
      <c r="N27" s="107">
        <f t="shared" si="45"/>
        <v>0</v>
      </c>
      <c r="O27" s="107">
        <f t="shared" si="45"/>
        <v>0</v>
      </c>
      <c r="P27" s="107">
        <f t="shared" si="45"/>
        <v>0</v>
      </c>
      <c r="Q27" s="107">
        <f t="shared" si="45"/>
        <v>0</v>
      </c>
      <c r="R27" s="107">
        <f t="shared" si="45"/>
        <v>0</v>
      </c>
      <c r="S27" s="107">
        <f t="shared" si="45"/>
        <v>0</v>
      </c>
      <c r="T27" s="107">
        <f t="shared" si="45"/>
        <v>0</v>
      </c>
      <c r="U27" s="107">
        <f t="shared" si="45"/>
        <v>0</v>
      </c>
      <c r="V27" s="107">
        <f t="shared" si="45"/>
        <v>0</v>
      </c>
      <c r="W27" s="107">
        <f t="shared" si="45"/>
        <v>0</v>
      </c>
      <c r="X27" s="107">
        <f t="shared" si="45"/>
        <v>0</v>
      </c>
      <c r="Y27" s="107">
        <f t="shared" si="45"/>
        <v>0</v>
      </c>
      <c r="Z27" s="107">
        <f t="shared" si="45"/>
        <v>0</v>
      </c>
      <c r="AA27" s="107">
        <f t="shared" si="45"/>
        <v>0</v>
      </c>
      <c r="AB27" s="107">
        <f t="shared" si="45"/>
        <v>0</v>
      </c>
      <c r="AC27" s="107">
        <f t="shared" si="45"/>
        <v>0</v>
      </c>
      <c r="AD27" s="107">
        <f t="shared" si="45"/>
        <v>0</v>
      </c>
      <c r="AE27" s="107">
        <f t="shared" si="45"/>
        <v>0</v>
      </c>
      <c r="AF27" s="107">
        <f t="shared" si="45"/>
        <v>0</v>
      </c>
      <c r="AG27" s="107">
        <f t="shared" si="45"/>
        <v>0</v>
      </c>
      <c r="AH27" s="107">
        <f t="shared" si="45"/>
        <v>0</v>
      </c>
      <c r="AI27" s="107">
        <f t="shared" ref="AI27:BN27" si="46">IFERROR(AI6/SMBARPUCalc,0)</f>
        <v>0</v>
      </c>
      <c r="AJ27" s="107">
        <f t="shared" si="46"/>
        <v>0</v>
      </c>
      <c r="AK27" s="107">
        <f t="shared" si="46"/>
        <v>0</v>
      </c>
      <c r="AL27" s="107">
        <f t="shared" si="46"/>
        <v>0</v>
      </c>
      <c r="AM27" s="107">
        <f t="shared" si="46"/>
        <v>0</v>
      </c>
      <c r="AN27" s="107">
        <f t="shared" si="46"/>
        <v>0</v>
      </c>
      <c r="AO27" s="107">
        <f t="shared" si="46"/>
        <v>0</v>
      </c>
      <c r="AP27" s="107">
        <f t="shared" si="46"/>
        <v>0</v>
      </c>
      <c r="AQ27" s="107">
        <f t="shared" si="46"/>
        <v>0</v>
      </c>
      <c r="AR27" s="107">
        <f t="shared" si="46"/>
        <v>0</v>
      </c>
      <c r="AS27" s="107">
        <f t="shared" si="46"/>
        <v>0</v>
      </c>
      <c r="AT27" s="107">
        <f t="shared" si="46"/>
        <v>0</v>
      </c>
      <c r="AU27" s="107">
        <f t="shared" si="46"/>
        <v>0</v>
      </c>
      <c r="AV27" s="107">
        <f t="shared" si="46"/>
        <v>0</v>
      </c>
      <c r="AW27" s="107">
        <f t="shared" si="46"/>
        <v>0</v>
      </c>
      <c r="AX27" s="107">
        <f t="shared" si="46"/>
        <v>0</v>
      </c>
      <c r="AY27" s="107">
        <f t="shared" si="46"/>
        <v>0</v>
      </c>
      <c r="AZ27" s="107">
        <f t="shared" si="46"/>
        <v>0</v>
      </c>
      <c r="BA27" s="107">
        <f t="shared" si="46"/>
        <v>0</v>
      </c>
      <c r="BB27" s="107">
        <f t="shared" si="46"/>
        <v>0</v>
      </c>
      <c r="BC27" s="107">
        <f t="shared" si="46"/>
        <v>0</v>
      </c>
      <c r="BD27" s="107">
        <f t="shared" si="46"/>
        <v>0</v>
      </c>
      <c r="BE27" s="107">
        <f t="shared" si="46"/>
        <v>0</v>
      </c>
      <c r="BF27" s="107">
        <f t="shared" si="46"/>
        <v>0</v>
      </c>
      <c r="BG27" s="107">
        <f t="shared" si="46"/>
        <v>0</v>
      </c>
      <c r="BH27" s="107">
        <f t="shared" si="46"/>
        <v>0</v>
      </c>
      <c r="BI27" s="107">
        <f t="shared" si="46"/>
        <v>0</v>
      </c>
      <c r="BJ27" s="107">
        <f t="shared" si="46"/>
        <v>0</v>
      </c>
      <c r="BK27" s="107">
        <f t="shared" si="46"/>
        <v>0</v>
      </c>
      <c r="BL27" s="107">
        <f t="shared" si="46"/>
        <v>0</v>
      </c>
      <c r="BM27" s="107">
        <f t="shared" si="46"/>
        <v>0</v>
      </c>
      <c r="BN27" s="107">
        <f t="shared" si="46"/>
        <v>0</v>
      </c>
      <c r="BO27" s="107">
        <f t="shared" ref="BO27:CT27" si="47">IFERROR(BO6/SMBARPUCalc,0)</f>
        <v>0</v>
      </c>
      <c r="BP27" s="107">
        <f t="shared" si="47"/>
        <v>0</v>
      </c>
      <c r="BQ27" s="107">
        <f t="shared" si="47"/>
        <v>0</v>
      </c>
      <c r="BR27" s="107">
        <f t="shared" si="47"/>
        <v>0</v>
      </c>
      <c r="BS27" s="107">
        <f t="shared" si="47"/>
        <v>0</v>
      </c>
      <c r="BT27" s="107">
        <f t="shared" si="47"/>
        <v>0</v>
      </c>
      <c r="BU27" s="107">
        <f t="shared" si="47"/>
        <v>0</v>
      </c>
      <c r="BV27" s="107">
        <f t="shared" si="47"/>
        <v>0</v>
      </c>
      <c r="BW27" s="107">
        <f t="shared" si="47"/>
        <v>0</v>
      </c>
      <c r="BX27" s="107">
        <f t="shared" si="47"/>
        <v>0</v>
      </c>
      <c r="BY27" s="107">
        <f t="shared" si="47"/>
        <v>0</v>
      </c>
      <c r="BZ27" s="107">
        <f t="shared" si="47"/>
        <v>0</v>
      </c>
      <c r="CA27" s="107">
        <f t="shared" si="47"/>
        <v>0</v>
      </c>
      <c r="CB27" s="107">
        <f t="shared" si="47"/>
        <v>0</v>
      </c>
      <c r="CC27" s="107">
        <f t="shared" si="47"/>
        <v>0</v>
      </c>
      <c r="CD27" s="107">
        <f t="shared" si="47"/>
        <v>0</v>
      </c>
      <c r="CE27" s="107">
        <f t="shared" si="47"/>
        <v>0</v>
      </c>
      <c r="CF27" s="107">
        <f t="shared" si="47"/>
        <v>0</v>
      </c>
      <c r="CG27" s="107">
        <f t="shared" si="47"/>
        <v>0</v>
      </c>
      <c r="CH27" s="107">
        <f t="shared" si="47"/>
        <v>0</v>
      </c>
      <c r="CI27" s="107">
        <f t="shared" si="47"/>
        <v>0</v>
      </c>
      <c r="CJ27" s="107">
        <f t="shared" si="47"/>
        <v>0</v>
      </c>
      <c r="CK27" s="107">
        <f t="shared" si="47"/>
        <v>0</v>
      </c>
      <c r="CL27" s="107">
        <f t="shared" si="47"/>
        <v>0</v>
      </c>
      <c r="CM27" s="107">
        <f t="shared" si="47"/>
        <v>0</v>
      </c>
      <c r="CN27" s="107">
        <f t="shared" si="47"/>
        <v>0</v>
      </c>
      <c r="CO27" s="107">
        <f t="shared" si="47"/>
        <v>0</v>
      </c>
      <c r="CP27" s="107">
        <f t="shared" si="47"/>
        <v>0</v>
      </c>
      <c r="CQ27" s="107">
        <f t="shared" si="47"/>
        <v>0</v>
      </c>
      <c r="CR27" s="107">
        <f t="shared" si="47"/>
        <v>0</v>
      </c>
      <c r="CS27" s="107">
        <f t="shared" si="47"/>
        <v>0</v>
      </c>
      <c r="CT27" s="107">
        <f t="shared" si="47"/>
        <v>0</v>
      </c>
      <c r="CU27" s="107">
        <f t="shared" ref="CU27:DZ27" si="48">IFERROR(CU6/SMBARPUCalc,0)</f>
        <v>0</v>
      </c>
      <c r="CV27" s="107">
        <f t="shared" si="48"/>
        <v>0</v>
      </c>
      <c r="CW27" s="107">
        <f t="shared" si="48"/>
        <v>0</v>
      </c>
      <c r="CX27" s="107">
        <f t="shared" si="48"/>
        <v>0</v>
      </c>
      <c r="CY27" s="107">
        <f t="shared" si="48"/>
        <v>0</v>
      </c>
      <c r="CZ27" s="107">
        <f t="shared" si="48"/>
        <v>0</v>
      </c>
      <c r="DA27" s="107">
        <f t="shared" si="48"/>
        <v>0</v>
      </c>
      <c r="DB27" s="107">
        <f t="shared" si="48"/>
        <v>0</v>
      </c>
      <c r="DC27" s="107">
        <f t="shared" si="48"/>
        <v>0</v>
      </c>
      <c r="DD27" s="107">
        <f t="shared" si="48"/>
        <v>0</v>
      </c>
      <c r="DE27" s="107">
        <f t="shared" si="48"/>
        <v>0</v>
      </c>
      <c r="DF27" s="107">
        <f t="shared" si="48"/>
        <v>0</v>
      </c>
      <c r="DG27" s="107">
        <f t="shared" si="48"/>
        <v>0</v>
      </c>
      <c r="DH27" s="107">
        <f t="shared" si="48"/>
        <v>0</v>
      </c>
      <c r="DI27" s="107">
        <f t="shared" si="48"/>
        <v>0</v>
      </c>
      <c r="DJ27" s="107">
        <f t="shared" si="48"/>
        <v>0</v>
      </c>
      <c r="DK27" s="107">
        <f t="shared" si="48"/>
        <v>0</v>
      </c>
      <c r="DL27" s="107">
        <f t="shared" si="48"/>
        <v>0</v>
      </c>
      <c r="DM27" s="107">
        <f t="shared" si="48"/>
        <v>0</v>
      </c>
      <c r="DN27" s="107">
        <f t="shared" si="48"/>
        <v>0</v>
      </c>
      <c r="DO27" s="107">
        <f t="shared" si="48"/>
        <v>0</v>
      </c>
      <c r="DP27" s="107">
        <f t="shared" si="48"/>
        <v>0</v>
      </c>
      <c r="DQ27" s="107">
        <f t="shared" si="48"/>
        <v>0</v>
      </c>
      <c r="DR27" s="107">
        <f t="shared" si="48"/>
        <v>0</v>
      </c>
      <c r="DS27" s="107">
        <f t="shared" si="48"/>
        <v>0</v>
      </c>
      <c r="DT27" s="107">
        <f t="shared" si="48"/>
        <v>0</v>
      </c>
      <c r="DU27" s="107">
        <f t="shared" si="48"/>
        <v>0</v>
      </c>
      <c r="DV27" s="107">
        <f t="shared" si="48"/>
        <v>0</v>
      </c>
      <c r="DW27" s="107">
        <f t="shared" si="48"/>
        <v>0</v>
      </c>
      <c r="DX27" s="107">
        <f t="shared" si="48"/>
        <v>0</v>
      </c>
      <c r="DY27" s="107">
        <f t="shared" si="48"/>
        <v>0</v>
      </c>
      <c r="DZ27" s="107">
        <f t="shared" si="48"/>
        <v>0</v>
      </c>
      <c r="EA27" s="107">
        <f t="shared" ref="EA27:FF27" si="49">IFERROR(EA6/SMBARPUCalc,0)</f>
        <v>0</v>
      </c>
      <c r="EB27" s="107">
        <f t="shared" si="49"/>
        <v>0</v>
      </c>
      <c r="EC27" s="107">
        <f t="shared" si="49"/>
        <v>0</v>
      </c>
      <c r="ED27" s="107">
        <f t="shared" si="49"/>
        <v>0</v>
      </c>
      <c r="EE27" s="107">
        <f t="shared" si="49"/>
        <v>0</v>
      </c>
      <c r="EF27" s="107">
        <f t="shared" si="49"/>
        <v>0</v>
      </c>
      <c r="EG27" s="107">
        <f t="shared" si="49"/>
        <v>0</v>
      </c>
      <c r="EH27" s="107">
        <f t="shared" si="49"/>
        <v>0</v>
      </c>
      <c r="EI27" s="107">
        <f t="shared" si="49"/>
        <v>0</v>
      </c>
      <c r="EJ27" s="107">
        <f t="shared" si="49"/>
        <v>0</v>
      </c>
      <c r="EK27" s="107">
        <f t="shared" si="49"/>
        <v>0</v>
      </c>
      <c r="EL27" s="107">
        <f t="shared" si="49"/>
        <v>0</v>
      </c>
      <c r="EM27" s="107">
        <f t="shared" si="49"/>
        <v>0</v>
      </c>
      <c r="EN27" s="107">
        <f t="shared" si="49"/>
        <v>0</v>
      </c>
      <c r="EO27" s="107">
        <f t="shared" si="49"/>
        <v>0</v>
      </c>
      <c r="EP27" s="107">
        <f t="shared" si="49"/>
        <v>0</v>
      </c>
      <c r="EQ27" s="107">
        <f t="shared" si="49"/>
        <v>0</v>
      </c>
      <c r="ER27" s="107">
        <f t="shared" si="49"/>
        <v>0</v>
      </c>
      <c r="ES27" s="107">
        <f t="shared" si="49"/>
        <v>0</v>
      </c>
      <c r="ET27" s="107">
        <f t="shared" si="49"/>
        <v>0</v>
      </c>
      <c r="EU27" s="107">
        <f t="shared" si="49"/>
        <v>0</v>
      </c>
      <c r="EV27" s="107">
        <f t="shared" si="49"/>
        <v>0</v>
      </c>
      <c r="EW27" s="107">
        <f t="shared" si="49"/>
        <v>0</v>
      </c>
      <c r="EX27" s="107">
        <f t="shared" si="49"/>
        <v>0</v>
      </c>
      <c r="EY27" s="107">
        <f t="shared" si="49"/>
        <v>0</v>
      </c>
      <c r="EZ27" s="107">
        <f t="shared" si="49"/>
        <v>0</v>
      </c>
      <c r="FA27" s="107">
        <f t="shared" si="49"/>
        <v>0</v>
      </c>
      <c r="FB27" s="107">
        <f t="shared" si="49"/>
        <v>0</v>
      </c>
      <c r="FC27" s="107">
        <f t="shared" si="49"/>
        <v>0</v>
      </c>
      <c r="FD27" s="107">
        <f t="shared" si="49"/>
        <v>0</v>
      </c>
      <c r="FE27" s="107">
        <f t="shared" si="49"/>
        <v>0</v>
      </c>
      <c r="FF27" s="107">
        <f t="shared" si="49"/>
        <v>0</v>
      </c>
      <c r="FG27" s="107">
        <f t="shared" ref="FG27:GA27" si="50">IFERROR(FG6/SMBARPUCalc,0)</f>
        <v>0</v>
      </c>
      <c r="FH27" s="107">
        <f t="shared" si="50"/>
        <v>0</v>
      </c>
      <c r="FI27" s="107">
        <f t="shared" si="50"/>
        <v>0</v>
      </c>
      <c r="FJ27" s="107">
        <f t="shared" si="50"/>
        <v>0</v>
      </c>
      <c r="FK27" s="107">
        <f t="shared" si="50"/>
        <v>0</v>
      </c>
      <c r="FL27" s="107">
        <f t="shared" si="50"/>
        <v>0</v>
      </c>
      <c r="FM27" s="107">
        <f t="shared" si="50"/>
        <v>0</v>
      </c>
      <c r="FN27" s="107">
        <f t="shared" si="50"/>
        <v>0</v>
      </c>
      <c r="FO27" s="107">
        <f t="shared" si="50"/>
        <v>0</v>
      </c>
      <c r="FP27" s="107">
        <f t="shared" si="50"/>
        <v>0</v>
      </c>
      <c r="FQ27" s="107">
        <f t="shared" si="50"/>
        <v>0</v>
      </c>
      <c r="FR27" s="107">
        <f t="shared" si="50"/>
        <v>0</v>
      </c>
      <c r="FS27" s="107">
        <f t="shared" si="50"/>
        <v>0</v>
      </c>
      <c r="FT27" s="107">
        <f t="shared" si="50"/>
        <v>0</v>
      </c>
      <c r="FU27" s="107">
        <f t="shared" si="50"/>
        <v>0</v>
      </c>
      <c r="FV27" s="107">
        <f t="shared" si="50"/>
        <v>0</v>
      </c>
      <c r="FW27" s="107">
        <f t="shared" si="50"/>
        <v>0</v>
      </c>
      <c r="FX27" s="107">
        <f t="shared" si="50"/>
        <v>0</v>
      </c>
      <c r="FY27" s="107">
        <f t="shared" si="50"/>
        <v>0</v>
      </c>
      <c r="FZ27" s="107">
        <f t="shared" si="50"/>
        <v>0</v>
      </c>
      <c r="GA27" s="107">
        <f t="shared" si="50"/>
        <v>0</v>
      </c>
      <c r="GB27" s="108"/>
    </row>
    <row r="28" spans="1:184" ht="6.75" customHeight="1">
      <c r="A28" s="1"/>
      <c r="B28" s="65"/>
      <c r="C28" s="65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66"/>
    </row>
    <row r="29" spans="1:184" s="11" customFormat="1" ht="33" customHeight="1">
      <c r="B29" s="93"/>
      <c r="C29" s="94" t="str">
        <f>"ENT Cust "&amp;C$4</f>
        <v>ENT Cust 0</v>
      </c>
      <c r="D29" s="95" t="str">
        <f t="shared" ref="D29:BO29" si="51">"ENT Cust "&amp;D$4</f>
        <v>ENT Cust 1</v>
      </c>
      <c r="E29" s="95" t="str">
        <f t="shared" si="51"/>
        <v>ENT Cust 2</v>
      </c>
      <c r="F29" s="95" t="str">
        <f t="shared" si="51"/>
        <v>ENT Cust 3</v>
      </c>
      <c r="G29" s="95" t="str">
        <f t="shared" si="51"/>
        <v>ENT Cust 4</v>
      </c>
      <c r="H29" s="95" t="str">
        <f t="shared" si="51"/>
        <v>ENT Cust 5</v>
      </c>
      <c r="I29" s="95" t="str">
        <f t="shared" si="51"/>
        <v>ENT Cust 6</v>
      </c>
      <c r="J29" s="95" t="str">
        <f t="shared" si="51"/>
        <v>ENT Cust 7</v>
      </c>
      <c r="K29" s="95" t="str">
        <f t="shared" si="51"/>
        <v>ENT Cust 8</v>
      </c>
      <c r="L29" s="95" t="str">
        <f t="shared" si="51"/>
        <v>ENT Cust 9</v>
      </c>
      <c r="M29" s="95" t="str">
        <f t="shared" si="51"/>
        <v>ENT Cust 10</v>
      </c>
      <c r="N29" s="95" t="str">
        <f t="shared" si="51"/>
        <v>ENT Cust 11</v>
      </c>
      <c r="O29" s="95" t="str">
        <f t="shared" si="51"/>
        <v>ENT Cust 12</v>
      </c>
      <c r="P29" s="95" t="str">
        <f t="shared" si="51"/>
        <v>ENT Cust 13</v>
      </c>
      <c r="Q29" s="95" t="str">
        <f t="shared" si="51"/>
        <v>ENT Cust 14</v>
      </c>
      <c r="R29" s="95" t="str">
        <f t="shared" si="51"/>
        <v>ENT Cust 15</v>
      </c>
      <c r="S29" s="95" t="str">
        <f t="shared" si="51"/>
        <v>ENT Cust 16</v>
      </c>
      <c r="T29" s="95" t="str">
        <f t="shared" si="51"/>
        <v>ENT Cust 17</v>
      </c>
      <c r="U29" s="95" t="str">
        <f t="shared" si="51"/>
        <v>ENT Cust 18</v>
      </c>
      <c r="V29" s="95" t="str">
        <f t="shared" si="51"/>
        <v>ENT Cust 19</v>
      </c>
      <c r="W29" s="95" t="str">
        <f t="shared" si="51"/>
        <v>ENT Cust 20</v>
      </c>
      <c r="X29" s="95" t="str">
        <f t="shared" si="51"/>
        <v>ENT Cust 21</v>
      </c>
      <c r="Y29" s="95" t="str">
        <f t="shared" si="51"/>
        <v>ENT Cust 22</v>
      </c>
      <c r="Z29" s="95" t="str">
        <f t="shared" si="51"/>
        <v>ENT Cust 23</v>
      </c>
      <c r="AA29" s="95" t="str">
        <f t="shared" si="51"/>
        <v>ENT Cust 24</v>
      </c>
      <c r="AB29" s="95" t="str">
        <f t="shared" si="51"/>
        <v>ENT Cust 25</v>
      </c>
      <c r="AC29" s="95" t="str">
        <f t="shared" si="51"/>
        <v>ENT Cust 26</v>
      </c>
      <c r="AD29" s="95" t="str">
        <f t="shared" si="51"/>
        <v>ENT Cust 27</v>
      </c>
      <c r="AE29" s="95" t="str">
        <f t="shared" si="51"/>
        <v>ENT Cust 28</v>
      </c>
      <c r="AF29" s="95" t="str">
        <f t="shared" si="51"/>
        <v>ENT Cust 29</v>
      </c>
      <c r="AG29" s="95" t="str">
        <f t="shared" si="51"/>
        <v>ENT Cust 30</v>
      </c>
      <c r="AH29" s="95" t="str">
        <f t="shared" si="51"/>
        <v>ENT Cust 31</v>
      </c>
      <c r="AI29" s="95" t="str">
        <f t="shared" si="51"/>
        <v>ENT Cust 32</v>
      </c>
      <c r="AJ29" s="95" t="str">
        <f t="shared" si="51"/>
        <v>ENT Cust 33</v>
      </c>
      <c r="AK29" s="95" t="str">
        <f t="shared" si="51"/>
        <v>ENT Cust 34</v>
      </c>
      <c r="AL29" s="95" t="str">
        <f t="shared" si="51"/>
        <v>ENT Cust 35</v>
      </c>
      <c r="AM29" s="95" t="str">
        <f t="shared" si="51"/>
        <v>ENT Cust 36</v>
      </c>
      <c r="AN29" s="95" t="str">
        <f t="shared" si="51"/>
        <v>ENT Cust 37</v>
      </c>
      <c r="AO29" s="95" t="str">
        <f t="shared" si="51"/>
        <v>ENT Cust 38</v>
      </c>
      <c r="AP29" s="95" t="str">
        <f t="shared" si="51"/>
        <v>ENT Cust 39</v>
      </c>
      <c r="AQ29" s="95" t="str">
        <f t="shared" si="51"/>
        <v>ENT Cust 40</v>
      </c>
      <c r="AR29" s="95" t="str">
        <f t="shared" si="51"/>
        <v>ENT Cust 41</v>
      </c>
      <c r="AS29" s="95" t="str">
        <f t="shared" si="51"/>
        <v>ENT Cust 42</v>
      </c>
      <c r="AT29" s="95" t="str">
        <f t="shared" si="51"/>
        <v>ENT Cust 43</v>
      </c>
      <c r="AU29" s="95" t="str">
        <f t="shared" si="51"/>
        <v>ENT Cust 44</v>
      </c>
      <c r="AV29" s="95" t="str">
        <f t="shared" si="51"/>
        <v>ENT Cust 45</v>
      </c>
      <c r="AW29" s="95" t="str">
        <f t="shared" si="51"/>
        <v>ENT Cust 46</v>
      </c>
      <c r="AX29" s="95" t="str">
        <f t="shared" si="51"/>
        <v>ENT Cust 47</v>
      </c>
      <c r="AY29" s="95" t="str">
        <f t="shared" si="51"/>
        <v>ENT Cust 48</v>
      </c>
      <c r="AZ29" s="95" t="str">
        <f t="shared" si="51"/>
        <v>ENT Cust 49</v>
      </c>
      <c r="BA29" s="95" t="str">
        <f t="shared" si="51"/>
        <v>ENT Cust 50</v>
      </c>
      <c r="BB29" s="95" t="str">
        <f t="shared" si="51"/>
        <v>ENT Cust 51</v>
      </c>
      <c r="BC29" s="95" t="str">
        <f t="shared" si="51"/>
        <v>ENT Cust 52</v>
      </c>
      <c r="BD29" s="95" t="str">
        <f t="shared" si="51"/>
        <v>ENT Cust 53</v>
      </c>
      <c r="BE29" s="95" t="str">
        <f t="shared" si="51"/>
        <v>ENT Cust 54</v>
      </c>
      <c r="BF29" s="95" t="str">
        <f t="shared" si="51"/>
        <v>ENT Cust 55</v>
      </c>
      <c r="BG29" s="95" t="str">
        <f t="shared" si="51"/>
        <v>ENT Cust 56</v>
      </c>
      <c r="BH29" s="95" t="str">
        <f t="shared" si="51"/>
        <v>ENT Cust 57</v>
      </c>
      <c r="BI29" s="95" t="str">
        <f t="shared" si="51"/>
        <v>ENT Cust 58</v>
      </c>
      <c r="BJ29" s="95" t="str">
        <f t="shared" si="51"/>
        <v>ENT Cust 59</v>
      </c>
      <c r="BK29" s="95" t="str">
        <f t="shared" si="51"/>
        <v>ENT Cust 60</v>
      </c>
      <c r="BL29" s="95" t="str">
        <f t="shared" si="51"/>
        <v>ENT Cust 61</v>
      </c>
      <c r="BM29" s="95" t="str">
        <f t="shared" si="51"/>
        <v>ENT Cust 62</v>
      </c>
      <c r="BN29" s="95" t="str">
        <f t="shared" si="51"/>
        <v>ENT Cust 63</v>
      </c>
      <c r="BO29" s="95" t="str">
        <f t="shared" si="51"/>
        <v>ENT Cust 64</v>
      </c>
      <c r="BP29" s="95" t="str">
        <f t="shared" ref="BP29:EA29" si="52">"ENT Cust "&amp;BP$4</f>
        <v>ENT Cust 65</v>
      </c>
      <c r="BQ29" s="95" t="str">
        <f t="shared" si="52"/>
        <v>ENT Cust 66</v>
      </c>
      <c r="BR29" s="95" t="str">
        <f t="shared" si="52"/>
        <v>ENT Cust 67</v>
      </c>
      <c r="BS29" s="95" t="str">
        <f t="shared" si="52"/>
        <v>ENT Cust 68</v>
      </c>
      <c r="BT29" s="95" t="str">
        <f t="shared" si="52"/>
        <v>ENT Cust 69</v>
      </c>
      <c r="BU29" s="95" t="str">
        <f t="shared" si="52"/>
        <v>ENT Cust 70</v>
      </c>
      <c r="BV29" s="95" t="str">
        <f t="shared" si="52"/>
        <v>ENT Cust 71</v>
      </c>
      <c r="BW29" s="95" t="str">
        <f t="shared" si="52"/>
        <v>ENT Cust 72</v>
      </c>
      <c r="BX29" s="95" t="str">
        <f t="shared" si="52"/>
        <v>ENT Cust 73</v>
      </c>
      <c r="BY29" s="95" t="str">
        <f t="shared" si="52"/>
        <v>ENT Cust 74</v>
      </c>
      <c r="BZ29" s="95" t="str">
        <f t="shared" si="52"/>
        <v>ENT Cust 75</v>
      </c>
      <c r="CA29" s="95" t="str">
        <f t="shared" si="52"/>
        <v>ENT Cust 76</v>
      </c>
      <c r="CB29" s="95" t="str">
        <f t="shared" si="52"/>
        <v>ENT Cust 77</v>
      </c>
      <c r="CC29" s="95" t="str">
        <f t="shared" si="52"/>
        <v>ENT Cust 78</v>
      </c>
      <c r="CD29" s="95" t="str">
        <f t="shared" si="52"/>
        <v>ENT Cust 79</v>
      </c>
      <c r="CE29" s="95" t="str">
        <f t="shared" si="52"/>
        <v>ENT Cust 80</v>
      </c>
      <c r="CF29" s="95" t="str">
        <f t="shared" si="52"/>
        <v>ENT Cust 81</v>
      </c>
      <c r="CG29" s="95" t="str">
        <f t="shared" si="52"/>
        <v>ENT Cust 82</v>
      </c>
      <c r="CH29" s="95" t="str">
        <f t="shared" si="52"/>
        <v>ENT Cust 83</v>
      </c>
      <c r="CI29" s="95" t="str">
        <f t="shared" si="52"/>
        <v>ENT Cust 84</v>
      </c>
      <c r="CJ29" s="95" t="str">
        <f t="shared" si="52"/>
        <v>ENT Cust 85</v>
      </c>
      <c r="CK29" s="95" t="str">
        <f t="shared" si="52"/>
        <v>ENT Cust 86</v>
      </c>
      <c r="CL29" s="95" t="str">
        <f t="shared" si="52"/>
        <v>ENT Cust 87</v>
      </c>
      <c r="CM29" s="95" t="str">
        <f t="shared" si="52"/>
        <v>ENT Cust 88</v>
      </c>
      <c r="CN29" s="95" t="str">
        <f t="shared" si="52"/>
        <v>ENT Cust 89</v>
      </c>
      <c r="CO29" s="95" t="str">
        <f t="shared" si="52"/>
        <v>ENT Cust 90</v>
      </c>
      <c r="CP29" s="95" t="str">
        <f t="shared" si="52"/>
        <v>ENT Cust 91</v>
      </c>
      <c r="CQ29" s="95" t="str">
        <f t="shared" si="52"/>
        <v>ENT Cust 92</v>
      </c>
      <c r="CR29" s="95" t="str">
        <f t="shared" si="52"/>
        <v>ENT Cust 93</v>
      </c>
      <c r="CS29" s="95" t="str">
        <f t="shared" si="52"/>
        <v>ENT Cust 94</v>
      </c>
      <c r="CT29" s="95" t="str">
        <f t="shared" si="52"/>
        <v>ENT Cust 95</v>
      </c>
      <c r="CU29" s="95" t="str">
        <f t="shared" si="52"/>
        <v>ENT Cust 96</v>
      </c>
      <c r="CV29" s="95" t="str">
        <f t="shared" si="52"/>
        <v>ENT Cust 97</v>
      </c>
      <c r="CW29" s="95" t="str">
        <f t="shared" si="52"/>
        <v>ENT Cust 98</v>
      </c>
      <c r="CX29" s="95" t="str">
        <f t="shared" si="52"/>
        <v>ENT Cust 99</v>
      </c>
      <c r="CY29" s="95" t="str">
        <f t="shared" si="52"/>
        <v>ENT Cust 100</v>
      </c>
      <c r="CZ29" s="95" t="str">
        <f t="shared" si="52"/>
        <v>ENT Cust 101</v>
      </c>
      <c r="DA29" s="95" t="str">
        <f t="shared" si="52"/>
        <v>ENT Cust 102</v>
      </c>
      <c r="DB29" s="95" t="str">
        <f t="shared" si="52"/>
        <v>ENT Cust 103</v>
      </c>
      <c r="DC29" s="95" t="str">
        <f t="shared" si="52"/>
        <v>ENT Cust 104</v>
      </c>
      <c r="DD29" s="95" t="str">
        <f t="shared" si="52"/>
        <v>ENT Cust 105</v>
      </c>
      <c r="DE29" s="95" t="str">
        <f t="shared" si="52"/>
        <v>ENT Cust 106</v>
      </c>
      <c r="DF29" s="95" t="str">
        <f t="shared" si="52"/>
        <v>ENT Cust 107</v>
      </c>
      <c r="DG29" s="95" t="str">
        <f t="shared" si="52"/>
        <v>ENT Cust 108</v>
      </c>
      <c r="DH29" s="95" t="str">
        <f t="shared" si="52"/>
        <v>ENT Cust 109</v>
      </c>
      <c r="DI29" s="95" t="str">
        <f t="shared" si="52"/>
        <v>ENT Cust 110</v>
      </c>
      <c r="DJ29" s="95" t="str">
        <f t="shared" si="52"/>
        <v>ENT Cust 111</v>
      </c>
      <c r="DK29" s="95" t="str">
        <f t="shared" si="52"/>
        <v>ENT Cust 112</v>
      </c>
      <c r="DL29" s="95" t="str">
        <f t="shared" si="52"/>
        <v>ENT Cust 113</v>
      </c>
      <c r="DM29" s="95" t="str">
        <f t="shared" si="52"/>
        <v>ENT Cust 114</v>
      </c>
      <c r="DN29" s="95" t="str">
        <f t="shared" si="52"/>
        <v>ENT Cust 115</v>
      </c>
      <c r="DO29" s="95" t="str">
        <f t="shared" si="52"/>
        <v>ENT Cust 116</v>
      </c>
      <c r="DP29" s="95" t="str">
        <f t="shared" si="52"/>
        <v>ENT Cust 117</v>
      </c>
      <c r="DQ29" s="95" t="str">
        <f t="shared" si="52"/>
        <v>ENT Cust 118</v>
      </c>
      <c r="DR29" s="95" t="str">
        <f t="shared" si="52"/>
        <v>ENT Cust 119</v>
      </c>
      <c r="DS29" s="95" t="str">
        <f t="shared" si="52"/>
        <v>ENT Cust 120</v>
      </c>
      <c r="DT29" s="95" t="str">
        <f t="shared" si="52"/>
        <v>ENT Cust 121</v>
      </c>
      <c r="DU29" s="95" t="str">
        <f t="shared" si="52"/>
        <v>ENT Cust 122</v>
      </c>
      <c r="DV29" s="95" t="str">
        <f t="shared" si="52"/>
        <v>ENT Cust 123</v>
      </c>
      <c r="DW29" s="95" t="str">
        <f t="shared" si="52"/>
        <v>ENT Cust 124</v>
      </c>
      <c r="DX29" s="95" t="str">
        <f t="shared" si="52"/>
        <v>ENT Cust 125</v>
      </c>
      <c r="DY29" s="95" t="str">
        <f t="shared" si="52"/>
        <v>ENT Cust 126</v>
      </c>
      <c r="DZ29" s="95" t="str">
        <f t="shared" si="52"/>
        <v>ENT Cust 127</v>
      </c>
      <c r="EA29" s="95" t="str">
        <f t="shared" si="52"/>
        <v>ENT Cust 128</v>
      </c>
      <c r="EB29" s="95" t="str">
        <f t="shared" ref="EB29:GA29" si="53">"ENT Cust "&amp;EB$4</f>
        <v>ENT Cust 129</v>
      </c>
      <c r="EC29" s="95" t="str">
        <f t="shared" si="53"/>
        <v>ENT Cust 130</v>
      </c>
      <c r="ED29" s="95" t="str">
        <f t="shared" si="53"/>
        <v>ENT Cust 131</v>
      </c>
      <c r="EE29" s="95" t="str">
        <f t="shared" si="53"/>
        <v>ENT Cust 132</v>
      </c>
      <c r="EF29" s="95" t="str">
        <f t="shared" si="53"/>
        <v>ENT Cust 133</v>
      </c>
      <c r="EG29" s="95" t="str">
        <f t="shared" si="53"/>
        <v>ENT Cust 134</v>
      </c>
      <c r="EH29" s="95" t="str">
        <f t="shared" si="53"/>
        <v>ENT Cust 135</v>
      </c>
      <c r="EI29" s="95" t="str">
        <f t="shared" si="53"/>
        <v>ENT Cust 136</v>
      </c>
      <c r="EJ29" s="95" t="str">
        <f t="shared" si="53"/>
        <v>ENT Cust 137</v>
      </c>
      <c r="EK29" s="95" t="str">
        <f t="shared" si="53"/>
        <v>ENT Cust 138</v>
      </c>
      <c r="EL29" s="95" t="str">
        <f t="shared" si="53"/>
        <v>ENT Cust 139</v>
      </c>
      <c r="EM29" s="95" t="str">
        <f t="shared" si="53"/>
        <v>ENT Cust 140</v>
      </c>
      <c r="EN29" s="95" t="str">
        <f t="shared" si="53"/>
        <v>ENT Cust 141</v>
      </c>
      <c r="EO29" s="95" t="str">
        <f t="shared" si="53"/>
        <v>ENT Cust 142</v>
      </c>
      <c r="EP29" s="95" t="str">
        <f t="shared" si="53"/>
        <v>ENT Cust 143</v>
      </c>
      <c r="EQ29" s="95" t="str">
        <f t="shared" si="53"/>
        <v>ENT Cust 144</v>
      </c>
      <c r="ER29" s="95" t="str">
        <f t="shared" si="53"/>
        <v>ENT Cust 145</v>
      </c>
      <c r="ES29" s="95" t="str">
        <f t="shared" si="53"/>
        <v>ENT Cust 146</v>
      </c>
      <c r="ET29" s="95" t="str">
        <f t="shared" si="53"/>
        <v>ENT Cust 147</v>
      </c>
      <c r="EU29" s="95" t="str">
        <f t="shared" si="53"/>
        <v>ENT Cust 148</v>
      </c>
      <c r="EV29" s="95" t="str">
        <f t="shared" si="53"/>
        <v>ENT Cust 149</v>
      </c>
      <c r="EW29" s="95" t="str">
        <f t="shared" si="53"/>
        <v>ENT Cust 150</v>
      </c>
      <c r="EX29" s="95" t="str">
        <f t="shared" si="53"/>
        <v>ENT Cust 151</v>
      </c>
      <c r="EY29" s="95" t="str">
        <f t="shared" si="53"/>
        <v>ENT Cust 152</v>
      </c>
      <c r="EZ29" s="95" t="str">
        <f t="shared" si="53"/>
        <v>ENT Cust 153</v>
      </c>
      <c r="FA29" s="95" t="str">
        <f t="shared" si="53"/>
        <v>ENT Cust 154</v>
      </c>
      <c r="FB29" s="95" t="str">
        <f t="shared" si="53"/>
        <v>ENT Cust 155</v>
      </c>
      <c r="FC29" s="95" t="str">
        <f t="shared" si="53"/>
        <v>ENT Cust 156</v>
      </c>
      <c r="FD29" s="95" t="str">
        <f t="shared" si="53"/>
        <v>ENT Cust 157</v>
      </c>
      <c r="FE29" s="95" t="str">
        <f t="shared" si="53"/>
        <v>ENT Cust 158</v>
      </c>
      <c r="FF29" s="95" t="str">
        <f t="shared" si="53"/>
        <v>ENT Cust 159</v>
      </c>
      <c r="FG29" s="95" t="str">
        <f t="shared" si="53"/>
        <v>ENT Cust 160</v>
      </c>
      <c r="FH29" s="95" t="str">
        <f t="shared" si="53"/>
        <v>ENT Cust 161</v>
      </c>
      <c r="FI29" s="95" t="str">
        <f t="shared" si="53"/>
        <v>ENT Cust 162</v>
      </c>
      <c r="FJ29" s="95" t="str">
        <f t="shared" si="53"/>
        <v>ENT Cust 163</v>
      </c>
      <c r="FK29" s="95" t="str">
        <f t="shared" si="53"/>
        <v>ENT Cust 164</v>
      </c>
      <c r="FL29" s="95" t="str">
        <f t="shared" si="53"/>
        <v>ENT Cust 165</v>
      </c>
      <c r="FM29" s="95" t="str">
        <f t="shared" si="53"/>
        <v>ENT Cust 166</v>
      </c>
      <c r="FN29" s="95" t="str">
        <f t="shared" si="53"/>
        <v>ENT Cust 167</v>
      </c>
      <c r="FO29" s="95" t="str">
        <f t="shared" si="53"/>
        <v>ENT Cust 168</v>
      </c>
      <c r="FP29" s="95" t="str">
        <f t="shared" si="53"/>
        <v>ENT Cust 169</v>
      </c>
      <c r="FQ29" s="95" t="str">
        <f t="shared" si="53"/>
        <v>ENT Cust 170</v>
      </c>
      <c r="FR29" s="95" t="str">
        <f t="shared" si="53"/>
        <v>ENT Cust 171</v>
      </c>
      <c r="FS29" s="95" t="str">
        <f t="shared" si="53"/>
        <v>ENT Cust 172</v>
      </c>
      <c r="FT29" s="95" t="str">
        <f t="shared" si="53"/>
        <v>ENT Cust 173</v>
      </c>
      <c r="FU29" s="95" t="str">
        <f t="shared" si="53"/>
        <v>ENT Cust 174</v>
      </c>
      <c r="FV29" s="95" t="str">
        <f t="shared" si="53"/>
        <v>ENT Cust 175</v>
      </c>
      <c r="FW29" s="95" t="str">
        <f t="shared" si="53"/>
        <v>ENT Cust 176</v>
      </c>
      <c r="FX29" s="95" t="str">
        <f t="shared" si="53"/>
        <v>ENT Cust 177</v>
      </c>
      <c r="FY29" s="95" t="str">
        <f t="shared" si="53"/>
        <v>ENT Cust 178</v>
      </c>
      <c r="FZ29" s="95" t="str">
        <f t="shared" si="53"/>
        <v>ENT Cust 179</v>
      </c>
      <c r="GA29" s="95" t="str">
        <f t="shared" si="53"/>
        <v>ENT Cust 180</v>
      </c>
      <c r="GB29" s="96"/>
    </row>
    <row r="30" spans="1:184" ht="16.5" customHeight="1">
      <c r="A30" s="1"/>
      <c r="B30" s="68"/>
      <c r="C30" s="109">
        <f t="shared" ref="C30:AH30" si="54">IFERROR(C9/ENTARPUCalc,0)</f>
        <v>0</v>
      </c>
      <c r="D30" s="110">
        <f t="shared" si="54"/>
        <v>0</v>
      </c>
      <c r="E30" s="110">
        <f t="shared" si="54"/>
        <v>0</v>
      </c>
      <c r="F30" s="110">
        <f t="shared" si="54"/>
        <v>0</v>
      </c>
      <c r="G30" s="110">
        <f t="shared" si="54"/>
        <v>0</v>
      </c>
      <c r="H30" s="110">
        <f t="shared" si="54"/>
        <v>0</v>
      </c>
      <c r="I30" s="110">
        <f t="shared" si="54"/>
        <v>0</v>
      </c>
      <c r="J30" s="110">
        <f t="shared" si="54"/>
        <v>0</v>
      </c>
      <c r="K30" s="110">
        <f t="shared" si="54"/>
        <v>0</v>
      </c>
      <c r="L30" s="110">
        <f t="shared" si="54"/>
        <v>0</v>
      </c>
      <c r="M30" s="110">
        <f t="shared" si="54"/>
        <v>0</v>
      </c>
      <c r="N30" s="110">
        <f t="shared" si="54"/>
        <v>0</v>
      </c>
      <c r="O30" s="110">
        <f t="shared" si="54"/>
        <v>0</v>
      </c>
      <c r="P30" s="110">
        <f t="shared" si="54"/>
        <v>0</v>
      </c>
      <c r="Q30" s="110">
        <f t="shared" si="54"/>
        <v>0</v>
      </c>
      <c r="R30" s="110">
        <f t="shared" si="54"/>
        <v>0</v>
      </c>
      <c r="S30" s="110">
        <f t="shared" si="54"/>
        <v>0</v>
      </c>
      <c r="T30" s="110">
        <f t="shared" si="54"/>
        <v>0</v>
      </c>
      <c r="U30" s="110">
        <f t="shared" si="54"/>
        <v>0</v>
      </c>
      <c r="V30" s="110">
        <f t="shared" si="54"/>
        <v>0</v>
      </c>
      <c r="W30" s="110">
        <f t="shared" si="54"/>
        <v>0</v>
      </c>
      <c r="X30" s="110">
        <f t="shared" si="54"/>
        <v>0</v>
      </c>
      <c r="Y30" s="110">
        <f t="shared" si="54"/>
        <v>0</v>
      </c>
      <c r="Z30" s="110">
        <f t="shared" si="54"/>
        <v>0</v>
      </c>
      <c r="AA30" s="110">
        <f t="shared" si="54"/>
        <v>0</v>
      </c>
      <c r="AB30" s="110">
        <f t="shared" si="54"/>
        <v>0</v>
      </c>
      <c r="AC30" s="110">
        <f t="shared" si="54"/>
        <v>0</v>
      </c>
      <c r="AD30" s="110">
        <f t="shared" si="54"/>
        <v>0</v>
      </c>
      <c r="AE30" s="110">
        <f t="shared" si="54"/>
        <v>0</v>
      </c>
      <c r="AF30" s="110">
        <f t="shared" si="54"/>
        <v>0</v>
      </c>
      <c r="AG30" s="110">
        <f t="shared" si="54"/>
        <v>0</v>
      </c>
      <c r="AH30" s="110">
        <f t="shared" si="54"/>
        <v>0</v>
      </c>
      <c r="AI30" s="110">
        <f t="shared" ref="AI30:BN30" si="55">IFERROR(AI9/ENTARPUCalc,0)</f>
        <v>0</v>
      </c>
      <c r="AJ30" s="110">
        <f t="shared" si="55"/>
        <v>0</v>
      </c>
      <c r="AK30" s="110">
        <f t="shared" si="55"/>
        <v>0</v>
      </c>
      <c r="AL30" s="110">
        <f t="shared" si="55"/>
        <v>0</v>
      </c>
      <c r="AM30" s="110">
        <f t="shared" si="55"/>
        <v>0</v>
      </c>
      <c r="AN30" s="110">
        <f t="shared" si="55"/>
        <v>0</v>
      </c>
      <c r="AO30" s="110">
        <f t="shared" si="55"/>
        <v>0</v>
      </c>
      <c r="AP30" s="110">
        <f t="shared" si="55"/>
        <v>0</v>
      </c>
      <c r="AQ30" s="110">
        <f t="shared" si="55"/>
        <v>0</v>
      </c>
      <c r="AR30" s="110">
        <f t="shared" si="55"/>
        <v>0</v>
      </c>
      <c r="AS30" s="110">
        <f t="shared" si="55"/>
        <v>0</v>
      </c>
      <c r="AT30" s="110">
        <f t="shared" si="55"/>
        <v>0</v>
      </c>
      <c r="AU30" s="110">
        <f t="shared" si="55"/>
        <v>0</v>
      </c>
      <c r="AV30" s="110">
        <f t="shared" si="55"/>
        <v>0</v>
      </c>
      <c r="AW30" s="110">
        <f t="shared" si="55"/>
        <v>0</v>
      </c>
      <c r="AX30" s="110">
        <f t="shared" si="55"/>
        <v>0</v>
      </c>
      <c r="AY30" s="110">
        <f t="shared" si="55"/>
        <v>0</v>
      </c>
      <c r="AZ30" s="110">
        <f t="shared" si="55"/>
        <v>0</v>
      </c>
      <c r="BA30" s="110">
        <f t="shared" si="55"/>
        <v>0</v>
      </c>
      <c r="BB30" s="110">
        <f t="shared" si="55"/>
        <v>0</v>
      </c>
      <c r="BC30" s="110">
        <f t="shared" si="55"/>
        <v>0</v>
      </c>
      <c r="BD30" s="110">
        <f t="shared" si="55"/>
        <v>0</v>
      </c>
      <c r="BE30" s="110">
        <f t="shared" si="55"/>
        <v>0</v>
      </c>
      <c r="BF30" s="110">
        <f t="shared" si="55"/>
        <v>0</v>
      </c>
      <c r="BG30" s="110">
        <f t="shared" si="55"/>
        <v>0</v>
      </c>
      <c r="BH30" s="110">
        <f t="shared" si="55"/>
        <v>0</v>
      </c>
      <c r="BI30" s="110">
        <f t="shared" si="55"/>
        <v>0</v>
      </c>
      <c r="BJ30" s="110">
        <f t="shared" si="55"/>
        <v>0</v>
      </c>
      <c r="BK30" s="110">
        <f t="shared" si="55"/>
        <v>0</v>
      </c>
      <c r="BL30" s="110">
        <f t="shared" si="55"/>
        <v>0</v>
      </c>
      <c r="BM30" s="110">
        <f t="shared" si="55"/>
        <v>0</v>
      </c>
      <c r="BN30" s="110">
        <f t="shared" si="55"/>
        <v>0</v>
      </c>
      <c r="BO30" s="110">
        <f t="shared" ref="BO30:CT30" si="56">IFERROR(BO9/ENTARPUCalc,0)</f>
        <v>0</v>
      </c>
      <c r="BP30" s="110">
        <f t="shared" si="56"/>
        <v>0</v>
      </c>
      <c r="BQ30" s="110">
        <f t="shared" si="56"/>
        <v>0</v>
      </c>
      <c r="BR30" s="110">
        <f t="shared" si="56"/>
        <v>0</v>
      </c>
      <c r="BS30" s="110">
        <f t="shared" si="56"/>
        <v>0</v>
      </c>
      <c r="BT30" s="110">
        <f t="shared" si="56"/>
        <v>0</v>
      </c>
      <c r="BU30" s="110">
        <f t="shared" si="56"/>
        <v>0</v>
      </c>
      <c r="BV30" s="110">
        <f t="shared" si="56"/>
        <v>0</v>
      </c>
      <c r="BW30" s="110">
        <f t="shared" si="56"/>
        <v>0</v>
      </c>
      <c r="BX30" s="110">
        <f t="shared" si="56"/>
        <v>0</v>
      </c>
      <c r="BY30" s="110">
        <f t="shared" si="56"/>
        <v>0</v>
      </c>
      <c r="BZ30" s="110">
        <f t="shared" si="56"/>
        <v>0</v>
      </c>
      <c r="CA30" s="110">
        <f t="shared" si="56"/>
        <v>0</v>
      </c>
      <c r="CB30" s="110">
        <f t="shared" si="56"/>
        <v>0</v>
      </c>
      <c r="CC30" s="110">
        <f t="shared" si="56"/>
        <v>0</v>
      </c>
      <c r="CD30" s="110">
        <f t="shared" si="56"/>
        <v>0</v>
      </c>
      <c r="CE30" s="110">
        <f t="shared" si="56"/>
        <v>0</v>
      </c>
      <c r="CF30" s="110">
        <f t="shared" si="56"/>
        <v>0</v>
      </c>
      <c r="CG30" s="110">
        <f t="shared" si="56"/>
        <v>0</v>
      </c>
      <c r="CH30" s="110">
        <f t="shared" si="56"/>
        <v>0</v>
      </c>
      <c r="CI30" s="110">
        <f t="shared" si="56"/>
        <v>0</v>
      </c>
      <c r="CJ30" s="110">
        <f t="shared" si="56"/>
        <v>0</v>
      </c>
      <c r="CK30" s="110">
        <f t="shared" si="56"/>
        <v>0</v>
      </c>
      <c r="CL30" s="110">
        <f t="shared" si="56"/>
        <v>0</v>
      </c>
      <c r="CM30" s="110">
        <f t="shared" si="56"/>
        <v>0</v>
      </c>
      <c r="CN30" s="110">
        <f t="shared" si="56"/>
        <v>0</v>
      </c>
      <c r="CO30" s="110">
        <f t="shared" si="56"/>
        <v>0</v>
      </c>
      <c r="CP30" s="110">
        <f t="shared" si="56"/>
        <v>0</v>
      </c>
      <c r="CQ30" s="110">
        <f t="shared" si="56"/>
        <v>0</v>
      </c>
      <c r="CR30" s="110">
        <f t="shared" si="56"/>
        <v>0</v>
      </c>
      <c r="CS30" s="110">
        <f t="shared" si="56"/>
        <v>0</v>
      </c>
      <c r="CT30" s="110">
        <f t="shared" si="56"/>
        <v>0</v>
      </c>
      <c r="CU30" s="110">
        <f t="shared" ref="CU30:DZ30" si="57">IFERROR(CU9/ENTARPUCalc,0)</f>
        <v>0</v>
      </c>
      <c r="CV30" s="110">
        <f t="shared" si="57"/>
        <v>0</v>
      </c>
      <c r="CW30" s="110">
        <f t="shared" si="57"/>
        <v>0</v>
      </c>
      <c r="CX30" s="110">
        <f t="shared" si="57"/>
        <v>0</v>
      </c>
      <c r="CY30" s="110">
        <f t="shared" si="57"/>
        <v>0</v>
      </c>
      <c r="CZ30" s="110">
        <f t="shared" si="57"/>
        <v>0</v>
      </c>
      <c r="DA30" s="110">
        <f t="shared" si="57"/>
        <v>0</v>
      </c>
      <c r="DB30" s="110">
        <f t="shared" si="57"/>
        <v>0</v>
      </c>
      <c r="DC30" s="110">
        <f t="shared" si="57"/>
        <v>0</v>
      </c>
      <c r="DD30" s="110">
        <f t="shared" si="57"/>
        <v>0</v>
      </c>
      <c r="DE30" s="110">
        <f t="shared" si="57"/>
        <v>0</v>
      </c>
      <c r="DF30" s="110">
        <f t="shared" si="57"/>
        <v>0</v>
      </c>
      <c r="DG30" s="110">
        <f t="shared" si="57"/>
        <v>0</v>
      </c>
      <c r="DH30" s="110">
        <f t="shared" si="57"/>
        <v>0</v>
      </c>
      <c r="DI30" s="110">
        <f t="shared" si="57"/>
        <v>0</v>
      </c>
      <c r="DJ30" s="110">
        <f t="shared" si="57"/>
        <v>0</v>
      </c>
      <c r="DK30" s="110">
        <f t="shared" si="57"/>
        <v>0</v>
      </c>
      <c r="DL30" s="110">
        <f t="shared" si="57"/>
        <v>0</v>
      </c>
      <c r="DM30" s="110">
        <f t="shared" si="57"/>
        <v>0</v>
      </c>
      <c r="DN30" s="110">
        <f t="shared" si="57"/>
        <v>0</v>
      </c>
      <c r="DO30" s="110">
        <f t="shared" si="57"/>
        <v>0</v>
      </c>
      <c r="DP30" s="110">
        <f t="shared" si="57"/>
        <v>0</v>
      </c>
      <c r="DQ30" s="110">
        <f t="shared" si="57"/>
        <v>0</v>
      </c>
      <c r="DR30" s="110">
        <f t="shared" si="57"/>
        <v>0</v>
      </c>
      <c r="DS30" s="110">
        <f t="shared" si="57"/>
        <v>0</v>
      </c>
      <c r="DT30" s="110">
        <f t="shared" si="57"/>
        <v>0</v>
      </c>
      <c r="DU30" s="110">
        <f t="shared" si="57"/>
        <v>0</v>
      </c>
      <c r="DV30" s="110">
        <f t="shared" si="57"/>
        <v>0</v>
      </c>
      <c r="DW30" s="110">
        <f t="shared" si="57"/>
        <v>0</v>
      </c>
      <c r="DX30" s="110">
        <f t="shared" si="57"/>
        <v>0</v>
      </c>
      <c r="DY30" s="110">
        <f t="shared" si="57"/>
        <v>0</v>
      </c>
      <c r="DZ30" s="110">
        <f t="shared" si="57"/>
        <v>0</v>
      </c>
      <c r="EA30" s="110">
        <f t="shared" ref="EA30:FF30" si="58">IFERROR(EA9/ENTARPUCalc,0)</f>
        <v>0</v>
      </c>
      <c r="EB30" s="110">
        <f t="shared" si="58"/>
        <v>0</v>
      </c>
      <c r="EC30" s="110">
        <f t="shared" si="58"/>
        <v>0</v>
      </c>
      <c r="ED30" s="110">
        <f t="shared" si="58"/>
        <v>0</v>
      </c>
      <c r="EE30" s="110">
        <f t="shared" si="58"/>
        <v>0</v>
      </c>
      <c r="EF30" s="110">
        <f t="shared" si="58"/>
        <v>0</v>
      </c>
      <c r="EG30" s="110">
        <f t="shared" si="58"/>
        <v>0</v>
      </c>
      <c r="EH30" s="110">
        <f t="shared" si="58"/>
        <v>0</v>
      </c>
      <c r="EI30" s="110">
        <f t="shared" si="58"/>
        <v>0</v>
      </c>
      <c r="EJ30" s="110">
        <f t="shared" si="58"/>
        <v>0</v>
      </c>
      <c r="EK30" s="110">
        <f t="shared" si="58"/>
        <v>0</v>
      </c>
      <c r="EL30" s="110">
        <f t="shared" si="58"/>
        <v>0</v>
      </c>
      <c r="EM30" s="110">
        <f t="shared" si="58"/>
        <v>0</v>
      </c>
      <c r="EN30" s="110">
        <f t="shared" si="58"/>
        <v>0</v>
      </c>
      <c r="EO30" s="110">
        <f t="shared" si="58"/>
        <v>0</v>
      </c>
      <c r="EP30" s="110">
        <f t="shared" si="58"/>
        <v>0</v>
      </c>
      <c r="EQ30" s="110">
        <f t="shared" si="58"/>
        <v>0</v>
      </c>
      <c r="ER30" s="110">
        <f t="shared" si="58"/>
        <v>0</v>
      </c>
      <c r="ES30" s="110">
        <f t="shared" si="58"/>
        <v>0</v>
      </c>
      <c r="ET30" s="110">
        <f t="shared" si="58"/>
        <v>0</v>
      </c>
      <c r="EU30" s="110">
        <f t="shared" si="58"/>
        <v>0</v>
      </c>
      <c r="EV30" s="110">
        <f t="shared" si="58"/>
        <v>0</v>
      </c>
      <c r="EW30" s="110">
        <f t="shared" si="58"/>
        <v>0</v>
      </c>
      <c r="EX30" s="110">
        <f t="shared" si="58"/>
        <v>0</v>
      </c>
      <c r="EY30" s="110">
        <f t="shared" si="58"/>
        <v>0</v>
      </c>
      <c r="EZ30" s="110">
        <f t="shared" si="58"/>
        <v>0</v>
      </c>
      <c r="FA30" s="110">
        <f t="shared" si="58"/>
        <v>0</v>
      </c>
      <c r="FB30" s="110">
        <f t="shared" si="58"/>
        <v>0</v>
      </c>
      <c r="FC30" s="110">
        <f t="shared" si="58"/>
        <v>0</v>
      </c>
      <c r="FD30" s="110">
        <f t="shared" si="58"/>
        <v>0</v>
      </c>
      <c r="FE30" s="110">
        <f t="shared" si="58"/>
        <v>0</v>
      </c>
      <c r="FF30" s="110">
        <f t="shared" si="58"/>
        <v>0</v>
      </c>
      <c r="FG30" s="110">
        <f t="shared" ref="FG30:GA30" si="59">IFERROR(FG9/ENTARPUCalc,0)</f>
        <v>0</v>
      </c>
      <c r="FH30" s="110">
        <f t="shared" si="59"/>
        <v>0</v>
      </c>
      <c r="FI30" s="110">
        <f t="shared" si="59"/>
        <v>0</v>
      </c>
      <c r="FJ30" s="110">
        <f t="shared" si="59"/>
        <v>0</v>
      </c>
      <c r="FK30" s="110">
        <f t="shared" si="59"/>
        <v>0</v>
      </c>
      <c r="FL30" s="110">
        <f t="shared" si="59"/>
        <v>0</v>
      </c>
      <c r="FM30" s="110">
        <f t="shared" si="59"/>
        <v>0</v>
      </c>
      <c r="FN30" s="110">
        <f t="shared" si="59"/>
        <v>0</v>
      </c>
      <c r="FO30" s="110">
        <f t="shared" si="59"/>
        <v>0</v>
      </c>
      <c r="FP30" s="110">
        <f t="shared" si="59"/>
        <v>0</v>
      </c>
      <c r="FQ30" s="110">
        <f t="shared" si="59"/>
        <v>0</v>
      </c>
      <c r="FR30" s="110">
        <f t="shared" si="59"/>
        <v>0</v>
      </c>
      <c r="FS30" s="110">
        <f t="shared" si="59"/>
        <v>0</v>
      </c>
      <c r="FT30" s="110">
        <f t="shared" si="59"/>
        <v>0</v>
      </c>
      <c r="FU30" s="110">
        <f t="shared" si="59"/>
        <v>0</v>
      </c>
      <c r="FV30" s="110">
        <f t="shared" si="59"/>
        <v>0</v>
      </c>
      <c r="FW30" s="110">
        <f t="shared" si="59"/>
        <v>0</v>
      </c>
      <c r="FX30" s="110">
        <f t="shared" si="59"/>
        <v>0</v>
      </c>
      <c r="FY30" s="110">
        <f t="shared" si="59"/>
        <v>0</v>
      </c>
      <c r="FZ30" s="110">
        <f t="shared" si="59"/>
        <v>0</v>
      </c>
      <c r="GA30" s="110">
        <f t="shared" si="59"/>
        <v>0</v>
      </c>
      <c r="GB30" s="111"/>
    </row>
    <row r="31" spans="1:184" s="2" customFormat="1" ht="16.5">
      <c r="A31" s="1"/>
    </row>
    <row r="32" spans="1:184" s="2" customFormat="1" ht="16.5" hidden="1">
      <c r="A32" s="1"/>
    </row>
    <row r="33" spans="1:1" s="2" customFormat="1" ht="16.5" hidden="1">
      <c r="A33" s="1"/>
    </row>
    <row r="34" spans="1:1" s="2" customFormat="1" ht="16.5" hidden="1">
      <c r="A34" s="1"/>
    </row>
    <row r="35" spans="1:1" s="2" customFormat="1" ht="16.5" hidden="1">
      <c r="A35" s="1"/>
    </row>
    <row r="36" spans="1:1" s="2" customFormat="1" ht="16.5" hidden="1">
      <c r="A36" s="1"/>
    </row>
    <row r="37" spans="1:1" s="2" customFormat="1" ht="16.5" hidden="1">
      <c r="A37" s="1"/>
    </row>
    <row r="38" spans="1:1" s="2" customFormat="1" ht="16.5" hidden="1">
      <c r="A38" s="1"/>
    </row>
    <row r="39" spans="1:1" s="2" customFormat="1" ht="16.5" hidden="1">
      <c r="A39" s="1"/>
    </row>
    <row r="40" spans="1:1" s="2" customFormat="1" ht="16.5" hidden="1">
      <c r="A40" s="1"/>
    </row>
    <row r="41" spans="1:1" s="2" customFormat="1" ht="16.5" hidden="1">
      <c r="A41" s="1"/>
    </row>
    <row r="42" spans="1:1" s="2" customFormat="1" ht="16.5" hidden="1">
      <c r="A42" s="1"/>
    </row>
    <row r="43" spans="1:1" s="2" customFormat="1" ht="16.5" hidden="1">
      <c r="A43" s="1"/>
    </row>
    <row r="44" spans="1:1" s="2" customFormat="1" ht="16.5" hidden="1">
      <c r="A44" s="1"/>
    </row>
    <row r="45" spans="1:1" s="2" customFormat="1" ht="16.5" hidden="1">
      <c r="A45" s="1"/>
    </row>
    <row r="46" spans="1:1" s="2" customFormat="1" ht="16.5" hidden="1">
      <c r="A46" s="1"/>
    </row>
    <row r="47" spans="1:1" s="2" customFormat="1" ht="16.5" hidden="1">
      <c r="A47" s="1"/>
    </row>
    <row r="48" spans="1:1" s="2" customFormat="1" ht="16.5" hidden="1">
      <c r="A48" s="1"/>
    </row>
    <row r="49" spans="1:1" s="2" customFormat="1" ht="16.5" hidden="1">
      <c r="A49" s="1"/>
    </row>
    <row r="50" spans="1:1" s="2" customFormat="1" ht="16.5" hidden="1">
      <c r="A50" s="1"/>
    </row>
    <row r="51" spans="1:1" s="2" customFormat="1" ht="16.5" hidden="1">
      <c r="A51" s="1"/>
    </row>
    <row r="52" spans="1:1" s="2" customFormat="1" ht="16.5" hidden="1">
      <c r="A52" s="1"/>
    </row>
    <row r="53" spans="1:1" s="2" customFormat="1" ht="16.5" hidden="1">
      <c r="A53" s="1"/>
    </row>
    <row r="54" spans="1:1" s="2" customFormat="1" ht="16.5" hidden="1">
      <c r="A54" s="1"/>
    </row>
    <row r="55" spans="1:1" s="2" customFormat="1" ht="16.5" hidden="1">
      <c r="A55" s="1"/>
    </row>
    <row r="56" spans="1:1" s="2" customFormat="1" ht="16.5" hidden="1">
      <c r="A56" s="1"/>
    </row>
    <row r="57" spans="1:1" s="2" customFormat="1" ht="16.5" hidden="1">
      <c r="A57" s="1"/>
    </row>
    <row r="58" spans="1:1" s="2" customFormat="1" ht="16.5" hidden="1">
      <c r="A58" s="1"/>
    </row>
    <row r="59" spans="1:1" s="2" customFormat="1" ht="16.5" hidden="1">
      <c r="A59" s="1"/>
    </row>
    <row r="60" spans="1:1" s="2" customFormat="1" ht="16.5" hidden="1">
      <c r="A60" s="1"/>
    </row>
    <row r="61" spans="1:1" s="2" customFormat="1" ht="16.5" hidden="1">
      <c r="A61" s="1"/>
    </row>
    <row r="62" spans="1:1" s="2" customFormat="1" ht="16.5" hidden="1">
      <c r="A62" s="1"/>
    </row>
    <row r="63" spans="1:1" s="2" customFormat="1" ht="16.5" hidden="1">
      <c r="A63" s="1"/>
    </row>
    <row r="64" spans="1:1" s="2" customFormat="1" ht="16.5" hidden="1">
      <c r="A64" s="1"/>
    </row>
    <row r="65" spans="1:1" s="2" customFormat="1" ht="16.5" hidden="1">
      <c r="A65" s="1"/>
    </row>
    <row r="66" spans="1:1" s="2" customFormat="1" ht="16.5" hidden="1">
      <c r="A66" s="1"/>
    </row>
    <row r="67" spans="1:1" s="2" customFormat="1" ht="16.5" hidden="1">
      <c r="A67" s="1"/>
    </row>
    <row r="68" spans="1:1" s="2" customFormat="1" ht="16.5" hidden="1">
      <c r="A68" s="1"/>
    </row>
    <row r="69" spans="1:1" s="2" customFormat="1" ht="16.5" hidden="1">
      <c r="A69" s="1"/>
    </row>
    <row r="70" spans="1:1" s="2" customFormat="1" ht="16.5" hidden="1">
      <c r="A70" s="1"/>
    </row>
    <row r="71" spans="1:1" s="2" customFormat="1" ht="16.5" hidden="1">
      <c r="A71" s="1"/>
    </row>
    <row r="72" spans="1:1" s="2" customFormat="1" ht="16.5" hidden="1">
      <c r="A72" s="1"/>
    </row>
    <row r="73" spans="1:1" s="2" customFormat="1" ht="16.5" hidden="1">
      <c r="A73" s="1"/>
    </row>
    <row r="74" spans="1:1" s="2" customFormat="1" ht="16.5" hidden="1">
      <c r="A74" s="1"/>
    </row>
    <row r="75" spans="1:1" s="2" customFormat="1" ht="16.5" hidden="1">
      <c r="A75" s="1"/>
    </row>
    <row r="76" spans="1:1" s="2" customFormat="1" ht="16.5" hidden="1">
      <c r="A76" s="1"/>
    </row>
    <row r="77" spans="1:1" s="2" customFormat="1" ht="16.5" hidden="1">
      <c r="A77" s="1"/>
    </row>
    <row r="78" spans="1:1" s="2" customFormat="1" ht="16.5" hidden="1">
      <c r="A78" s="1"/>
    </row>
    <row r="79" spans="1:1" s="2" customFormat="1" ht="16.5" hidden="1">
      <c r="A79" s="1"/>
    </row>
    <row r="80" spans="1:1" s="2" customFormat="1" ht="16.5" hidden="1">
      <c r="A80" s="1"/>
    </row>
    <row r="81" spans="1:1" s="2" customFormat="1" ht="16.5" hidden="1">
      <c r="A81" s="1"/>
    </row>
    <row r="82" spans="1:1" s="2" customFormat="1" ht="16.5" hidden="1">
      <c r="A82" s="1"/>
    </row>
    <row r="83" spans="1:1" s="2" customFormat="1" ht="16.5" hidden="1">
      <c r="A83" s="1"/>
    </row>
    <row r="84" spans="1:1" s="2" customFormat="1" ht="16.5" hidden="1">
      <c r="A84" s="1"/>
    </row>
    <row r="85" spans="1:1" s="2" customFormat="1" ht="16.5" hidden="1">
      <c r="A85" s="1"/>
    </row>
    <row r="86" spans="1:1" s="2" customFormat="1" ht="16.5" hidden="1">
      <c r="A86" s="1"/>
    </row>
    <row r="87" spans="1:1" s="2" customFormat="1" ht="16.5" hidden="1">
      <c r="A87" s="1"/>
    </row>
    <row r="88" spans="1:1" s="2" customFormat="1" ht="16.5" hidden="1">
      <c r="A88" s="1"/>
    </row>
    <row r="89" spans="1:1" s="2" customFormat="1" ht="16.5" hidden="1">
      <c r="A89" s="1"/>
    </row>
    <row r="90" spans="1:1" s="2" customFormat="1" ht="16.5" hidden="1">
      <c r="A90" s="1"/>
    </row>
    <row r="91" spans="1:1" s="2" customFormat="1" ht="16.5" hidden="1">
      <c r="A91" s="1"/>
    </row>
    <row r="92" spans="1:1" s="2" customFormat="1" ht="16.5" hidden="1">
      <c r="A92" s="1"/>
    </row>
    <row r="93" spans="1:1" s="2" customFormat="1" ht="16.5" hidden="1">
      <c r="A93" s="1"/>
    </row>
    <row r="94" spans="1:1" s="2" customFormat="1" ht="16.5" hidden="1">
      <c r="A94" s="1"/>
    </row>
    <row r="95" spans="1:1" s="2" customFormat="1" ht="16.5" hidden="1">
      <c r="A95" s="1"/>
    </row>
    <row r="96" spans="1:1" s="2" customFormat="1" ht="16.5" hidden="1">
      <c r="A96" s="1"/>
    </row>
    <row r="97" spans="1:1" s="2" customFormat="1" ht="16.5" hidden="1">
      <c r="A97" s="1"/>
    </row>
    <row r="98" spans="1:1" s="2" customFormat="1" ht="16.5" hidden="1">
      <c r="A98" s="1"/>
    </row>
    <row r="99" spans="1:1" s="2" customFormat="1" ht="16.5" hidden="1">
      <c r="A99" s="1"/>
    </row>
    <row r="100" spans="1:1" s="2" customFormat="1" ht="16.5" hidden="1">
      <c r="A100" s="1"/>
    </row>
    <row r="101" spans="1:1" s="2" customFormat="1" ht="16.5" hidden="1">
      <c r="A101" s="1"/>
    </row>
    <row r="102" spans="1:1" s="2" customFormat="1" ht="16.5" hidden="1">
      <c r="A102" s="1"/>
    </row>
    <row r="103" spans="1:1" s="2" customFormat="1" ht="16.5" hidden="1">
      <c r="A103" s="1"/>
    </row>
    <row r="104" spans="1:1" s="2" customFormat="1" ht="16.5" hidden="1">
      <c r="A104" s="1"/>
    </row>
    <row r="105" spans="1:1" s="2" customFormat="1" ht="16.5" hidden="1">
      <c r="A105" s="1"/>
    </row>
    <row r="106" spans="1:1" s="2" customFormat="1" ht="16.5" hidden="1">
      <c r="A106" s="1"/>
    </row>
    <row r="107" spans="1:1" s="2" customFormat="1" ht="16.5" hidden="1">
      <c r="A107" s="1"/>
    </row>
    <row r="108" spans="1:1" s="2" customFormat="1" ht="16.5" hidden="1">
      <c r="A108" s="1"/>
    </row>
    <row r="109" spans="1:1" s="2" customFormat="1" ht="16.5" hidden="1">
      <c r="A109" s="1"/>
    </row>
    <row r="110" spans="1:1" s="2" customFormat="1" ht="16.5" hidden="1">
      <c r="A110" s="1"/>
    </row>
    <row r="111" spans="1:1" s="2" customFormat="1" ht="16.5" hidden="1">
      <c r="A111" s="1"/>
    </row>
    <row r="112" spans="1:1" s="2" customFormat="1" ht="16.5" hidden="1">
      <c r="A112" s="1"/>
    </row>
    <row r="113" spans="1:13" s="2" customFormat="1" ht="16.5" hidden="1">
      <c r="A113" s="1"/>
    </row>
    <row r="114" spans="1:13" s="2" customFormat="1" ht="16.5" hidden="1">
      <c r="A114" s="1"/>
    </row>
    <row r="115" spans="1:13" s="2" customFormat="1" ht="16.5" hidden="1">
      <c r="A115" s="1"/>
    </row>
    <row r="116" spans="1:13" s="2" customFormat="1" ht="16.5" hidden="1">
      <c r="A116" s="1"/>
    </row>
    <row r="117" spans="1:13" s="2" customFormat="1" ht="16.5" hidden="1">
      <c r="A117" s="1"/>
    </row>
    <row r="118" spans="1:13" s="2" customFormat="1" ht="16.5" hidden="1">
      <c r="A118" s="1"/>
    </row>
    <row r="119" spans="1:13" s="2" customFormat="1" ht="16.5" hidden="1">
      <c r="A119" s="1"/>
    </row>
    <row r="120" spans="1:13" s="2" customFormat="1" ht="16.5" hidden="1">
      <c r="A120" s="1"/>
    </row>
    <row r="121" spans="1:13" s="2" customFormat="1" ht="16.5" hidden="1">
      <c r="A121" s="1"/>
    </row>
    <row r="122" spans="1:13" s="2" customFormat="1" ht="16.5" hidden="1">
      <c r="A122" s="1"/>
    </row>
    <row r="123" spans="1:13" s="2" customFormat="1" ht="16.5" hidden="1">
      <c r="A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r="124" spans="1:13" s="2" customFormat="1" ht="16.5" hidden="1">
      <c r="A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r="125" spans="1:13" s="2" customFormat="1" ht="16.5" hidden="1">
      <c r="A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r="126" spans="1:13" s="2" customFormat="1" ht="16.5" hidden="1">
      <c r="A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r="127" spans="1:13" s="2" customFormat="1" ht="16.5" hidden="1">
      <c r="A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r="128" spans="1:13" s="2" customFormat="1" ht="16.5" hidden="1">
      <c r="A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r="129" spans="1:13" s="2" customFormat="1" ht="16.5" hidden="1">
      <c r="A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r="130" spans="1:13" s="2" customFormat="1" ht="16.5" hidden="1">
      <c r="A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</row>
    <row r="131" spans="1:13" s="2" customFormat="1" ht="16.5" hidden="1">
      <c r="A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</row>
    <row r="132" spans="1:13" s="2" customFormat="1" ht="16.5" hidden="1">
      <c r="A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</row>
    <row r="133" spans="1:13" s="2" customFormat="1" ht="16.5" hidden="1">
      <c r="A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</row>
    <row r="134" spans="1:13" s="2" customFormat="1" ht="16.5" hidden="1">
      <c r="A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</row>
    <row r="135" spans="1:13" s="2" customFormat="1" ht="16.5" hidden="1">
      <c r="A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</row>
    <row r="136" spans="1:13" s="2" customFormat="1" ht="16.5" hidden="1">
      <c r="A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</row>
    <row r="137" spans="1:13" s="2" customFormat="1" ht="16.5" hidden="1">
      <c r="A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</row>
    <row r="138" spans="1:13" s="2" customFormat="1" ht="16.5" hidden="1">
      <c r="A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</row>
    <row r="139" spans="1:13" s="2" customFormat="1" ht="16.5" hidden="1">
      <c r="A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</row>
    <row r="140" spans="1:13" s="2" customFormat="1" ht="16.5" hidden="1">
      <c r="A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</row>
    <row r="141" spans="1:13" s="2" customFormat="1" ht="16.5" hidden="1">
      <c r="A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</row>
    <row r="142" spans="1:13" s="2" customFormat="1" ht="16.5" hidden="1">
      <c r="A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</row>
    <row r="143" spans="1:13" s="2" customFormat="1" ht="16.5" hidden="1">
      <c r="A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</row>
    <row r="144" spans="1:13" s="2" customFormat="1" ht="16.5" hidden="1">
      <c r="A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</row>
    <row r="145" spans="1:14" s="2" customFormat="1" ht="16.5" hidden="1">
      <c r="A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</row>
    <row r="146" spans="1:14" s="2" customFormat="1" ht="16.5" hidden="1">
      <c r="A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1:14" s="2" customFormat="1" ht="16.5" hidden="1">
      <c r="A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</row>
    <row r="148" spans="1:14" ht="16.5" hidden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1:14" ht="16.5" hidden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ht="16.5" hidden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3513E6121194D96A6F5B73479EB61" ma:contentTypeVersion="0" ma:contentTypeDescription="Create a new document." ma:contentTypeScope="" ma:versionID="c1edfa41617ea301c67f713558ef07b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Props1.xml><?xml version="1.0" encoding="utf-8"?>
<ds:datastoreItem xmlns:ds="http://schemas.openxmlformats.org/officeDocument/2006/customXml" ds:itemID="{B8246AF9-AF00-4F8A-B3D7-9D14E6D49F00}">
  <ds:schemaRefs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3D04B9B-5C42-4143-A3B1-7120A88936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077012-35FB-4F21-AD45-382DC99DCDAB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F86CD000-2BF4-4861-B188-8C9371423BAE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EB9CB7CF-DCD7-4A5F-B9B9-859D7CEDE1E6}">
  <ds:schemaRefs>
    <ds:schemaRef ds:uri="http://www.w3.org/2001/XMLSchema"/>
    <ds:schemaRef ds:uri="http://microsoft.data.visualization.Client.Excel/1.0"/>
  </ds:schemaRefs>
</ds:datastoreItem>
</file>

<file path=customXml/itemProps6.xml><?xml version="1.0" encoding="utf-8"?>
<ds:datastoreItem xmlns:ds="http://schemas.openxmlformats.org/officeDocument/2006/customXml" ds:itemID="{272FD4E2-90B7-45C9-9E50-2AA962D52A15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6B57E178-C106-4EE7-8CF8-6113F02C5039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76</vt:i4>
      </vt:variant>
    </vt:vector>
  </HeadingPairs>
  <TitlesOfParts>
    <vt:vector size="77" baseType="lpstr">
      <vt:lpstr>Calculator</vt:lpstr>
      <vt:lpstr>AddOSPENTCalc</vt:lpstr>
      <vt:lpstr>AddOSPLatCostENT</vt:lpstr>
      <vt:lpstr>AddOSPLatCostSMB</vt:lpstr>
      <vt:lpstr>AddOSPSMBCalc</vt:lpstr>
      <vt:lpstr>BuildingCountCalc</vt:lpstr>
      <vt:lpstr>BuildingType</vt:lpstr>
      <vt:lpstr>BuildType</vt:lpstr>
      <vt:lpstr>CalcIRR</vt:lpstr>
      <vt:lpstr>California</vt:lpstr>
      <vt:lpstr>'Calculator Cash Flow'!CashFlow180Mo</vt:lpstr>
      <vt:lpstr>CashFlow180MoCalc</vt:lpstr>
      <vt:lpstr>CurrentService</vt:lpstr>
      <vt:lpstr>DealTerm</vt:lpstr>
      <vt:lpstr>DivisionARPUAssumption</vt:lpstr>
      <vt:lpstr>DwellingType</vt:lpstr>
      <vt:lpstr>ENT12MoAssumption</vt:lpstr>
      <vt:lpstr>ENT12MoCalc</vt:lpstr>
      <vt:lpstr>ENT12moPenCalc</vt:lpstr>
      <vt:lpstr>ENT36MoAssumption</vt:lpstr>
      <vt:lpstr>ENT36MoCalc</vt:lpstr>
      <vt:lpstr>ENT36moPenCalc</vt:lpstr>
      <vt:lpstr>ENTARPUASSUMPTION</vt:lpstr>
      <vt:lpstr>ENTARPUAssumptionCalc</vt:lpstr>
      <vt:lpstr>ENTARPUCalc</vt:lpstr>
      <vt:lpstr>ENTCalcQBs</vt:lpstr>
      <vt:lpstr>ENTChurn</vt:lpstr>
      <vt:lpstr>ENTCost</vt:lpstr>
      <vt:lpstr>ENTCostCalc</vt:lpstr>
      <vt:lpstr>ENTOpexLoad</vt:lpstr>
      <vt:lpstr>EstROWCostCalc</vt:lpstr>
      <vt:lpstr>Houston</vt:lpstr>
      <vt:lpstr>ICDistroList</vt:lpstr>
      <vt:lpstr>LatCostPerBuilding</vt:lpstr>
      <vt:lpstr>LatCostPerBuildingCalc</vt:lpstr>
      <vt:lpstr>LatCostPerConnectMultiTenant</vt:lpstr>
      <vt:lpstr>LatCostPerMultiTenantCalc</vt:lpstr>
      <vt:lpstr>MaxDSLSpeed</vt:lpstr>
      <vt:lpstr>MDUBuildType</vt:lpstr>
      <vt:lpstr>MileHigh</vt:lpstr>
      <vt:lpstr>Month</vt:lpstr>
      <vt:lpstr>Mountain</vt:lpstr>
      <vt:lpstr>MultiTenantCalc</vt:lpstr>
      <vt:lpstr>Portland</vt:lpstr>
      <vt:lpstr>PrivPartyCostCalc</vt:lpstr>
      <vt:lpstr>Region</vt:lpstr>
      <vt:lpstr>RegionLeadBackupEmail</vt:lpstr>
      <vt:lpstr>RegionLeadEmail</vt:lpstr>
      <vt:lpstr>RegionSelectionCalc</vt:lpstr>
      <vt:lpstr>ROE</vt:lpstr>
      <vt:lpstr>Seattle</vt:lpstr>
      <vt:lpstr>Segment</vt:lpstr>
      <vt:lpstr>SelectedRegion</vt:lpstr>
      <vt:lpstr>SMB12MoAssumption</vt:lpstr>
      <vt:lpstr>SMB12MoCalc</vt:lpstr>
      <vt:lpstr>SMB12moPenCalc</vt:lpstr>
      <vt:lpstr>SMB36MoAssumption</vt:lpstr>
      <vt:lpstr>SMB36MoCalc</vt:lpstr>
      <vt:lpstr>SMB36moPenCalc</vt:lpstr>
      <vt:lpstr>SMBARPUAssumption</vt:lpstr>
      <vt:lpstr>SMBARPUAssumptionCalc</vt:lpstr>
      <vt:lpstr>SMBARPUCalc</vt:lpstr>
      <vt:lpstr>SMBCalcQBs</vt:lpstr>
      <vt:lpstr>SMBChurn</vt:lpstr>
      <vt:lpstr>SMBCost</vt:lpstr>
      <vt:lpstr>SMBCostCalc</vt:lpstr>
      <vt:lpstr>SMBENT</vt:lpstr>
      <vt:lpstr>SMBOpexLoad</vt:lpstr>
      <vt:lpstr>SurveyType</vt:lpstr>
      <vt:lpstr>TotalUpfrontENTCalc</vt:lpstr>
      <vt:lpstr>TotalUpfrontENTLatCosts</vt:lpstr>
      <vt:lpstr>TotalUpfrontSMBCalc</vt:lpstr>
      <vt:lpstr>TotalUpfrontSMBLatCosts</vt:lpstr>
      <vt:lpstr>Transport</vt:lpstr>
      <vt:lpstr>TwinCities</vt:lpstr>
      <vt:lpstr>Year</vt:lpstr>
      <vt:lpstr>YesOrNO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Sharkey</dc:creator>
  <cp:lastModifiedBy>Bray, Micah</cp:lastModifiedBy>
  <cp:lastPrinted>2017-09-11T19:41:00Z</cp:lastPrinted>
  <dcterms:created xsi:type="dcterms:W3CDTF">2015-08-28T18:22:04Z</dcterms:created>
  <dcterms:modified xsi:type="dcterms:W3CDTF">2018-02-08T04:39:35Z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ESRI_WORKBOOK_ID">
    <vt:lpwstr>ecad4e617b3d4aebbcc7b3c453d15148</vt:lpwstr>
  </property>
  <property fmtid="{D5CDD505-2E9C-101B-9397-08002B2CF9AE}" pid="4" name="ContentTypeId">
    <vt:lpwstr>0x0101005383513E6121194D96A6F5B73479EB61</vt:lpwstr>
  </property>
</Properties>
</file>